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nheuserbuschinbev-my.sharepoint.com/personal/luana_barata_ab-inbev_com/Documents/"/>
    </mc:Choice>
  </mc:AlternateContent>
  <xr:revisionPtr revIDLastSave="1087" documentId="8_{ACC62001-9CFC-430B-8299-6311C428269C}" xr6:coauthVersionLast="47" xr6:coauthVersionMax="47" xr10:uidLastSave="{C23A871F-9B7B-42D6-80FF-97CF63BBA244}"/>
  <bookViews>
    <workbookView showSheetTabs="0" xWindow="-110" yWindow="-110" windowWidth="19420" windowHeight="11500" xr2:uid="{00000000-000D-0000-FFFF-FFFF00000000}"/>
  </bookViews>
  <sheets>
    <sheet name="Menu" sheetId="4" r:id="rId1"/>
    <sheet name="Executive Summary" sheetId="5" r:id="rId2"/>
    <sheet name="Analysis" sheetId="3" r:id="rId3"/>
    <sheet name="Recommendations" sheetId="6" r:id="rId4"/>
    <sheet name="rawdata" sheetId="1" r:id="rId5"/>
    <sheet name="tables" sheetId="2" state="hidden"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3" l="1"/>
  <c r="G56" i="3"/>
  <c r="G57" i="3"/>
  <c r="G58" i="3"/>
  <c r="G59" i="3"/>
  <c r="G60" i="3"/>
  <c r="G61" i="3"/>
  <c r="G62" i="3"/>
  <c r="H13" i="5"/>
  <c r="B13" i="5"/>
  <c r="E6" i="5"/>
  <c r="F132" i="3"/>
  <c r="G123" i="3" s="1"/>
  <c r="E80" i="3"/>
  <c r="E13" i="5" s="1"/>
  <c r="E78" i="3"/>
  <c r="E76" i="3"/>
  <c r="E75" i="3"/>
  <c r="E77" i="3"/>
  <c r="E79" i="3"/>
  <c r="H56" i="3"/>
  <c r="H57" i="3"/>
  <c r="H58" i="3"/>
  <c r="H59" i="3"/>
  <c r="H60" i="3"/>
  <c r="H61" i="3"/>
  <c r="H62" i="3"/>
  <c r="H55" i="3"/>
  <c r="G41" i="3"/>
  <c r="G42" i="3"/>
  <c r="G43" i="3"/>
  <c r="G44" i="3"/>
  <c r="G45" i="3"/>
  <c r="G40" i="3"/>
  <c r="C41" i="3"/>
  <c r="C42" i="3"/>
  <c r="C43" i="3"/>
  <c r="C44" i="3"/>
  <c r="C45" i="3"/>
  <c r="C40" i="3"/>
  <c r="G31" i="3"/>
  <c r="G32" i="3"/>
  <c r="G33" i="3"/>
  <c r="G34" i="3"/>
  <c r="G35" i="3"/>
  <c r="G30" i="3"/>
  <c r="C31" i="3"/>
  <c r="C32" i="3"/>
  <c r="C33" i="3"/>
  <c r="C34" i="3"/>
  <c r="C35" i="3"/>
  <c r="C30" i="3"/>
  <c r="C17" i="3"/>
  <c r="C16" i="3"/>
  <c r="H6" i="5" s="1"/>
  <c r="C15" i="3"/>
  <c r="C14" i="3"/>
  <c r="C13" i="3"/>
  <c r="C12" i="3"/>
  <c r="K10" i="2"/>
  <c r="B6" i="5"/>
  <c r="G124" i="3" l="1"/>
  <c r="G122" i="3"/>
  <c r="G131" i="3"/>
  <c r="G130" i="3"/>
  <c r="G129" i="3"/>
  <c r="G128" i="3"/>
  <c r="G127" i="3"/>
  <c r="G126" i="3"/>
  <c r="G125" i="3"/>
</calcChain>
</file>

<file path=xl/sharedStrings.xml><?xml version="1.0" encoding="utf-8"?>
<sst xmlns="http://schemas.openxmlformats.org/spreadsheetml/2006/main" count="9035" uniqueCount="1656">
  <si>
    <t>candidate_id</t>
  </si>
  <si>
    <t>candidate_name</t>
  </si>
  <si>
    <t>candidate_email</t>
  </si>
  <si>
    <t>requisition_id</t>
  </si>
  <si>
    <t>role</t>
  </si>
  <si>
    <t>department</t>
  </si>
  <si>
    <t>location</t>
  </si>
  <si>
    <t>work_mode</t>
  </si>
  <si>
    <t>seniority</t>
  </si>
  <si>
    <t>years_experience</t>
  </si>
  <si>
    <t>hiring_manager</t>
  </si>
  <si>
    <t>recruiter</t>
  </si>
  <si>
    <t>source_channel</t>
  </si>
  <si>
    <t>decision_source</t>
  </si>
  <si>
    <t>sourced_date</t>
  </si>
  <si>
    <t>first_contact_date</t>
  </si>
  <si>
    <t>response_received</t>
  </si>
  <si>
    <t>response_time_days</t>
  </si>
  <si>
    <t>screening_pass</t>
  </si>
  <si>
    <t>screening_date</t>
  </si>
  <si>
    <t>interview1_pass</t>
  </si>
  <si>
    <t>interview1_date</t>
  </si>
  <si>
    <t>test_taken</t>
  </si>
  <si>
    <t>test_date</t>
  </si>
  <si>
    <t>technical_test_score</t>
  </si>
  <si>
    <t>behavior_score</t>
  </si>
  <si>
    <t>manager_score</t>
  </si>
  <si>
    <t>offer_sent</t>
  </si>
  <si>
    <t>offer_date</t>
  </si>
  <si>
    <t>hired</t>
  </si>
  <si>
    <t>hired_date</t>
  </si>
  <si>
    <t>final_stage</t>
  </si>
  <si>
    <t>rejection_reason</t>
  </si>
  <si>
    <t>stage_duration_days</t>
  </si>
  <si>
    <t>recruiter_notes</t>
  </si>
  <si>
    <t>Sr. Erick da Mota</t>
  </si>
  <si>
    <t>bruna89@da.org</t>
  </si>
  <si>
    <t>REQ-1037</t>
  </si>
  <si>
    <t>Analista de Recrutamento</t>
  </si>
  <si>
    <t>Tech</t>
  </si>
  <si>
    <t>Campinas</t>
  </si>
  <si>
    <t>Presencial</t>
  </si>
  <si>
    <t>Senior</t>
  </si>
  <si>
    <t>Luiz Fernando</t>
  </si>
  <si>
    <t>Carla</t>
  </si>
  <si>
    <t>Hunting</t>
  </si>
  <si>
    <t>Hiring Manager</t>
  </si>
  <si>
    <t>Test</t>
  </si>
  <si>
    <t>Experiência sólida, mas expectativa salarial alta.</t>
  </si>
  <si>
    <t>Camila da Mota</t>
  </si>
  <si>
    <t>rafaelmartins@gmail.com</t>
  </si>
  <si>
    <t>REQ-1025</t>
  </si>
  <si>
    <t>Talent Acquisition Specialist</t>
  </si>
  <si>
    <t>Pleno</t>
  </si>
  <si>
    <t>Benício</t>
  </si>
  <si>
    <t>Ana</t>
  </si>
  <si>
    <t>Comunidade</t>
  </si>
  <si>
    <t>Sourced</t>
  </si>
  <si>
    <t>Perfil técnico acima da média.</t>
  </si>
  <si>
    <t>Stephany Ferreira</t>
  </si>
  <si>
    <t>levida-mota@gmail.com</t>
  </si>
  <si>
    <t>REQ-1015</t>
  </si>
  <si>
    <t>Analista de Dados</t>
  </si>
  <si>
    <t>People</t>
  </si>
  <si>
    <t>Rio de Janeiro</t>
  </si>
  <si>
    <t>Remoto</t>
  </si>
  <si>
    <t>Davi</t>
  </si>
  <si>
    <t>Fernanda</t>
  </si>
  <si>
    <t>Banco de Talentos</t>
  </si>
  <si>
    <t>No response</t>
  </si>
  <si>
    <t>Bom potencial de evolução.</t>
  </si>
  <si>
    <t>Samuel Pires</t>
  </si>
  <si>
    <t>da-rosapietra@carvalho.com</t>
  </si>
  <si>
    <t>REQ-1038</t>
  </si>
  <si>
    <t>Data</t>
  </si>
  <si>
    <t>Remote</t>
  </si>
  <si>
    <t>Davi Lucca</t>
  </si>
  <si>
    <t>Rejected</t>
  </si>
  <si>
    <t>Pediu prazo adicional para retorno.</t>
  </si>
  <si>
    <t>Ana Júlia Teixeira</t>
  </si>
  <si>
    <t>ana-luiza81@souza.com</t>
  </si>
  <si>
    <t>REQ-1085</t>
  </si>
  <si>
    <t>Junior</t>
  </si>
  <si>
    <t>Isabelly</t>
  </si>
  <si>
    <t>Recruiter</t>
  </si>
  <si>
    <t>Sophia Souza</t>
  </si>
  <si>
    <t>isabellaribeiro@cunha.br</t>
  </si>
  <si>
    <t>REQ-1073</t>
  </si>
  <si>
    <t>Híbrido</t>
  </si>
  <si>
    <t>Sophia</t>
  </si>
  <si>
    <t>Bruno</t>
  </si>
  <si>
    <t>Indicação</t>
  </si>
  <si>
    <t>Tech Panel</t>
  </si>
  <si>
    <t>Feedback positivo do gestor.</t>
  </si>
  <si>
    <t>Benjamin Sales</t>
  </si>
  <si>
    <t>sabrina61@santos.br</t>
  </si>
  <si>
    <t>REQ-1002</t>
  </si>
  <si>
    <t>Curitiba</t>
  </si>
  <si>
    <t>Antônio</t>
  </si>
  <si>
    <t>Lorena Castro</t>
  </si>
  <si>
    <t>emanuelly10@moraes.br</t>
  </si>
  <si>
    <t>REQ-1087</t>
  </si>
  <si>
    <t>People BP</t>
  </si>
  <si>
    <t>Staff</t>
  </si>
  <si>
    <t>Carlos Eduardo</t>
  </si>
  <si>
    <t>Interview</t>
  </si>
  <si>
    <t>Benício Rocha</t>
  </si>
  <si>
    <t>alveslucca@rezende.br</t>
  </si>
  <si>
    <t>REQ-1079</t>
  </si>
  <si>
    <t>Daniel Duarte</t>
  </si>
  <si>
    <t>sophiacarvalho@hotmail.com</t>
  </si>
  <si>
    <t>Operations</t>
  </si>
  <si>
    <t>São Paulo</t>
  </si>
  <si>
    <t>Bruna</t>
  </si>
  <si>
    <t>Gustavo</t>
  </si>
  <si>
    <t>Evento</t>
  </si>
  <si>
    <t>TA Lead</t>
  </si>
  <si>
    <t>Salary mismatch</t>
  </si>
  <si>
    <t>Boa comunicação e resposta rápida.</t>
  </si>
  <si>
    <t>Antônio Barros</t>
  </si>
  <si>
    <t>fpeixoto@cavalcanti.br</t>
  </si>
  <si>
    <t>REQ-1069</t>
  </si>
  <si>
    <t>Isaac</t>
  </si>
  <si>
    <t>LinkedIn</t>
  </si>
  <si>
    <t>Failed technical test</t>
  </si>
  <si>
    <t>Evelyn Viana</t>
  </si>
  <si>
    <t>ana-vitoria30@bol.com.br</t>
  </si>
  <si>
    <t>REQ-1082</t>
  </si>
  <si>
    <t>Laís</t>
  </si>
  <si>
    <t>Inbound</t>
  </si>
  <si>
    <t>Arthur Aragão</t>
  </si>
  <si>
    <t>carvalhomarcela@silva.com</t>
  </si>
  <si>
    <t>REQ-1067</t>
  </si>
  <si>
    <t>Carolina</t>
  </si>
  <si>
    <t>Hired</t>
  </si>
  <si>
    <t>Pontos fortes em execução e autonomia.</t>
  </si>
  <si>
    <t>Bárbara Cavalcanti</t>
  </si>
  <si>
    <t>ana78@ig.com.br</t>
  </si>
  <si>
    <t>REQ-1054</t>
  </si>
  <si>
    <t>Belo Horizonte</t>
  </si>
  <si>
    <t>Stella</t>
  </si>
  <si>
    <t>Diego</t>
  </si>
  <si>
    <t>Caroline Pereira</t>
  </si>
  <si>
    <t>davi85@yahoo.com.br</t>
  </si>
  <si>
    <t>REQ-1014</t>
  </si>
  <si>
    <t>Sofia</t>
  </si>
  <si>
    <t>Github</t>
  </si>
  <si>
    <t>João Lucas Rocha</t>
  </si>
  <si>
    <t>yfernandes@ig.com.br</t>
  </si>
  <si>
    <t>REQ-1012</t>
  </si>
  <si>
    <t>João Pedro</t>
  </si>
  <si>
    <t>Screening</t>
  </si>
  <si>
    <t>Low technical fit</t>
  </si>
  <si>
    <t>Dra. Gabriela Cardoso</t>
  </si>
  <si>
    <t>da-conceicaoguilherme@yahoo.com.br</t>
  </si>
  <si>
    <t>REQ-1024</t>
  </si>
  <si>
    <t>Helena</t>
  </si>
  <si>
    <t>Apresentou aderência forte ao contexto da vaga.</t>
  </si>
  <si>
    <t>Srta. Clara Caldeira</t>
  </si>
  <si>
    <t>costelamarcelo@mendes.br</t>
  </si>
  <si>
    <t>REQ-1068</t>
  </si>
  <si>
    <t>Stephany</t>
  </si>
  <si>
    <t>Sra. Ana Júlia Moreira</t>
  </si>
  <si>
    <t>barrosana-sophia@ig.com.br</t>
  </si>
  <si>
    <t>REQ-1094</t>
  </si>
  <si>
    <t>Baixa responsividade nas etapas iniciais.</t>
  </si>
  <si>
    <t>Juliana Teixeira</t>
  </si>
  <si>
    <t>halmeida@nascimento.com</t>
  </si>
  <si>
    <t>Heitor</t>
  </si>
  <si>
    <t>Emanuella Fernandes</t>
  </si>
  <si>
    <t>camposbryan@silva.com</t>
  </si>
  <si>
    <t>REQ-1023</t>
  </si>
  <si>
    <t>Sra. Cecília Viana</t>
  </si>
  <si>
    <t>brenda33@uol.com.br</t>
  </si>
  <si>
    <t>REQ-1092</t>
  </si>
  <si>
    <t>João Gabriel</t>
  </si>
  <si>
    <t>Accepted another offer</t>
  </si>
  <si>
    <t>Maria Fernanda Nogueira</t>
  </si>
  <si>
    <t>ncastro@melo.br</t>
  </si>
  <si>
    <t>REQ-1031</t>
  </si>
  <si>
    <t>Caroline Santos</t>
  </si>
  <si>
    <t>luiz-gustavomoraes@hotmail.com</t>
  </si>
  <si>
    <t>Luna</t>
  </si>
  <si>
    <t>Sr. Francisco Souza</t>
  </si>
  <si>
    <t>otavio73@ig.com.br</t>
  </si>
  <si>
    <t>Ian</t>
  </si>
  <si>
    <t>Maria Sophia Campos</t>
  </si>
  <si>
    <t>joao-felipe04@bol.com.br</t>
  </si>
  <si>
    <t>Diogo</t>
  </si>
  <si>
    <t>Manuela Souza</t>
  </si>
  <si>
    <t>rcavalcanti@uol.com.br</t>
  </si>
  <si>
    <t>REQ-1083</t>
  </si>
  <si>
    <t>Ana Beatriz</t>
  </si>
  <si>
    <t>Dr. Luigi Nascimento</t>
  </si>
  <si>
    <t>jnogueira@ferreira.com</t>
  </si>
  <si>
    <t>REQ-1090</t>
  </si>
  <si>
    <t>Evelyn</t>
  </si>
  <si>
    <t>Gustavo Henrique Pires</t>
  </si>
  <si>
    <t>cardosoyago@yahoo.com.br</t>
  </si>
  <si>
    <t>REQ-1048</t>
  </si>
  <si>
    <t>Juliana</t>
  </si>
  <si>
    <t>Emanuelly Correia</t>
  </si>
  <si>
    <t>gustavo17@ig.com.br</t>
  </si>
  <si>
    <t>Vinicius</t>
  </si>
  <si>
    <t>theo14@hotmail.com</t>
  </si>
  <si>
    <t>REQ-1070</t>
  </si>
  <si>
    <t>Gustavo Henrique</t>
  </si>
  <si>
    <t>Low engagement</t>
  </si>
  <si>
    <t>Dr. Samuel Araújo</t>
  </si>
  <si>
    <t>silvaluana@uol.com.br</t>
  </si>
  <si>
    <t>João Felipe</t>
  </si>
  <si>
    <t>Thiago Azevedo</t>
  </si>
  <si>
    <t>pereiraaugusto@gmail.com</t>
  </si>
  <si>
    <t>REQ-1045</t>
  </si>
  <si>
    <t>Lucas Gabriel</t>
  </si>
  <si>
    <t>Demonstrou interesse claro na oportunidade.</t>
  </si>
  <si>
    <t>Thiago Moraes</t>
  </si>
  <si>
    <t>zfreitas@bol.com.br</t>
  </si>
  <si>
    <t>REQ-1040</t>
  </si>
  <si>
    <t>Luiz Gustavo Moreira</t>
  </si>
  <si>
    <t>da-cunhajoao-gabriel@freitas.com</t>
  </si>
  <si>
    <t>REQ-1006</t>
  </si>
  <si>
    <t>Davi Lucas</t>
  </si>
  <si>
    <t>Maria Alice Carvalho</t>
  </si>
  <si>
    <t>luiza77@correia.br</t>
  </si>
  <si>
    <t>REQ-1007</t>
  </si>
  <si>
    <t>Olivia</t>
  </si>
  <si>
    <t>Rebeca Oliveira</t>
  </si>
  <si>
    <t>mourajoaquim@gmail.com</t>
  </si>
  <si>
    <t>REQ-1071</t>
  </si>
  <si>
    <t>Nicole</t>
  </si>
  <si>
    <t>Daniela Gomes</t>
  </si>
  <si>
    <t>rafael75@ig.com.br</t>
  </si>
  <si>
    <t>Luiza</t>
  </si>
  <si>
    <t>Culture add mismatch</t>
  </si>
  <si>
    <t>Antônio Barbosa</t>
  </si>
  <si>
    <t>sophiearaujo@carvalho.net</t>
  </si>
  <si>
    <t>REQ-1029</t>
  </si>
  <si>
    <t>Pedro Lucas</t>
  </si>
  <si>
    <t>Dra. Lara Dias</t>
  </si>
  <si>
    <t>paulomelo@hotmail.com</t>
  </si>
  <si>
    <t>REQ-1001</t>
  </si>
  <si>
    <t>Natália</t>
  </si>
  <si>
    <t>Pedro Melo</t>
  </si>
  <si>
    <t>zda-mata@uol.com.br</t>
  </si>
  <si>
    <t>REQ-1026</t>
  </si>
  <si>
    <t>Sarah</t>
  </si>
  <si>
    <t>Diego Araújo</t>
  </si>
  <si>
    <t>da-cunhaarthur@rodrigues.org</t>
  </si>
  <si>
    <t>REQ-1066</t>
  </si>
  <si>
    <t>Alice</t>
  </si>
  <si>
    <t>Maitê Carvalho</t>
  </si>
  <si>
    <t>gviana@bol.com.br</t>
  </si>
  <si>
    <t>REQ-1064</t>
  </si>
  <si>
    <t>Daniel Moura</t>
  </si>
  <si>
    <t>emanuelda-cruz@bol.com.br</t>
  </si>
  <si>
    <t>REQ-1036</t>
  </si>
  <si>
    <t>Bianca</t>
  </si>
  <si>
    <t>Carlos Eduardo Moura</t>
  </si>
  <si>
    <t>da-cruznathan@yahoo.com.br</t>
  </si>
  <si>
    <t>Luiz Otávio</t>
  </si>
  <si>
    <t>Juan Fernandes</t>
  </si>
  <si>
    <t>maitealmeida@bol.com.br</t>
  </si>
  <si>
    <t>REQ-1021</t>
  </si>
  <si>
    <t>Ana Luiza</t>
  </si>
  <si>
    <t>Nina da Mata</t>
  </si>
  <si>
    <t>pintoluna@da.br</t>
  </si>
  <si>
    <t>REQ-1033</t>
  </si>
  <si>
    <t>Marcela</t>
  </si>
  <si>
    <t>Henrique Cavalcanti</t>
  </si>
  <si>
    <t>leandro97@hotmail.com</t>
  </si>
  <si>
    <t>REQ-1017</t>
  </si>
  <si>
    <t>Francisco</t>
  </si>
  <si>
    <t>Rodrigo Novaes</t>
  </si>
  <si>
    <t>maria-ceciliaaraujo@silva.com</t>
  </si>
  <si>
    <t>REQ-1011</t>
  </si>
  <si>
    <t>Kaique Correia</t>
  </si>
  <si>
    <t>lais23@ig.com.br</t>
  </si>
  <si>
    <t>REQ-1032</t>
  </si>
  <si>
    <t>Guilherme</t>
  </si>
  <si>
    <t>Yago Sales</t>
  </si>
  <si>
    <t>kamilly83@nunes.br</t>
  </si>
  <si>
    <t>REQ-1074</t>
  </si>
  <si>
    <t>Emanuella</t>
  </si>
  <si>
    <t>Alice da Paz</t>
  </si>
  <si>
    <t>da-rochayuri@correia.com</t>
  </si>
  <si>
    <t>Marina</t>
  </si>
  <si>
    <t>Timing mismatch</t>
  </si>
  <si>
    <t>Luiz Miguel Moraes</t>
  </si>
  <si>
    <t>otavioporto@campos.com</t>
  </si>
  <si>
    <t>Gabriela</t>
  </si>
  <si>
    <t>Stephany Fogaça</t>
  </si>
  <si>
    <t>gustavo83@ig.com.br</t>
  </si>
  <si>
    <t>REQ-1004</t>
  </si>
  <si>
    <t>Alexandre</t>
  </si>
  <si>
    <t>Juan Ramos</t>
  </si>
  <si>
    <t>xfernandes@ig.com.br</t>
  </si>
  <si>
    <t>REQ-1095</t>
  </si>
  <si>
    <t>Ana Vitória</t>
  </si>
  <si>
    <t>Cauã Dias</t>
  </si>
  <si>
    <t>souzalavinia@gmail.com</t>
  </si>
  <si>
    <t>REQ-1091</t>
  </si>
  <si>
    <t>Maria Fernanda</t>
  </si>
  <si>
    <t>Caio Pires</t>
  </si>
  <si>
    <t>ana-julialopes@gmail.com</t>
  </si>
  <si>
    <t>REQ-1003</t>
  </si>
  <si>
    <t>Otávio</t>
  </si>
  <si>
    <t>Kevin Lopes</t>
  </si>
  <si>
    <t>benicio44@yahoo.com.br</t>
  </si>
  <si>
    <t>Pedro Lucas Aragão</t>
  </si>
  <si>
    <t>scosta@yahoo.com.br</t>
  </si>
  <si>
    <t>REQ-1051</t>
  </si>
  <si>
    <t>Davi Luiz</t>
  </si>
  <si>
    <t>Ana Carolina Nascimento</t>
  </si>
  <si>
    <t>maria-clarada-cruz@bol.com.br</t>
  </si>
  <si>
    <t>Vitor</t>
  </si>
  <si>
    <t>Offer</t>
  </si>
  <si>
    <t>João Vitor Rodrigues</t>
  </si>
  <si>
    <t>xnunes@cardoso.com</t>
  </si>
  <si>
    <t>Leonardo</t>
  </si>
  <si>
    <t>Sabrina Dias</t>
  </si>
  <si>
    <t>anthony36@yahoo.com.br</t>
  </si>
  <si>
    <t>REQ-1088</t>
  </si>
  <si>
    <t>Augusto</t>
  </si>
  <si>
    <t>Maitê Mendes</t>
  </si>
  <si>
    <t>peixotomaria-luiza@ig.com.br</t>
  </si>
  <si>
    <t>REQ-1042</t>
  </si>
  <si>
    <t>Larissa da Mota</t>
  </si>
  <si>
    <t>cavalcantidiego@goncalves.net</t>
  </si>
  <si>
    <t>REQ-1056</t>
  </si>
  <si>
    <t>Dr. Enzo Gabriel Rezende</t>
  </si>
  <si>
    <t>francisco85@caldeira.com</t>
  </si>
  <si>
    <t>Renan</t>
  </si>
  <si>
    <t>Kevin Nascimento</t>
  </si>
  <si>
    <t>brunovieira@gmail.com</t>
  </si>
  <si>
    <t>REQ-1086</t>
  </si>
  <si>
    <t>Maria Sophia Pereira</t>
  </si>
  <si>
    <t>juliada-cunha@nunes.com</t>
  </si>
  <si>
    <t>REQ-1000</t>
  </si>
  <si>
    <t>Ryan Monteiro</t>
  </si>
  <si>
    <t>yagoaragao@rodrigues.br</t>
  </si>
  <si>
    <t>Clarice</t>
  </si>
  <si>
    <t>Arthur Lima</t>
  </si>
  <si>
    <t>bfreitas@castro.com</t>
  </si>
  <si>
    <t>REQ-1005</t>
  </si>
  <si>
    <t>Brenda</t>
  </si>
  <si>
    <t>João Guilherme Lima</t>
  </si>
  <si>
    <t>halves@cunha.br</t>
  </si>
  <si>
    <t>REQ-1030</t>
  </si>
  <si>
    <t>Bárbara</t>
  </si>
  <si>
    <t>Ana Sophia Fernandes</t>
  </si>
  <si>
    <t>usales@yahoo.com.br</t>
  </si>
  <si>
    <t>REQ-1062</t>
  </si>
  <si>
    <t>Thales</t>
  </si>
  <si>
    <t>Rafael Ramos</t>
  </si>
  <si>
    <t>da-conceicaobryan@yahoo.com.br</t>
  </si>
  <si>
    <t>Mariana</t>
  </si>
  <si>
    <t>Antônio Lopes</t>
  </si>
  <si>
    <t>icarvalho@uol.com.br</t>
  </si>
  <si>
    <t>REQ-1055</t>
  </si>
  <si>
    <t>Enrico</t>
  </si>
  <si>
    <t>Headcount closed</t>
  </si>
  <si>
    <t>Eduarda Jesus</t>
  </si>
  <si>
    <t>glopes@bol.com.br</t>
  </si>
  <si>
    <t>Lucas</t>
  </si>
  <si>
    <t>Dra. Brenda da Cunha</t>
  </si>
  <si>
    <t>gabriellysales@cardoso.net</t>
  </si>
  <si>
    <t>REQ-1076</t>
  </si>
  <si>
    <t>Bernardo</t>
  </si>
  <si>
    <t>Dr. Benjamin Pereira</t>
  </si>
  <si>
    <t>xmoura@cavalcanti.com</t>
  </si>
  <si>
    <t>REQ-1080</t>
  </si>
  <si>
    <t>Dr. Yuri da Mota</t>
  </si>
  <si>
    <t>mourapedro@ig.com.br</t>
  </si>
  <si>
    <t>Maria Sophia</t>
  </si>
  <si>
    <t>Pedro Henrique Almeida</t>
  </si>
  <si>
    <t>gabrielamoraes@barros.com</t>
  </si>
  <si>
    <t>Fernanda da Cunha</t>
  </si>
  <si>
    <t>mirella71@rocha.com</t>
  </si>
  <si>
    <t>Vitor Hugo</t>
  </si>
  <si>
    <t>Lucas Gabriel Nascimento</t>
  </si>
  <si>
    <t>camilacampos@da.br</t>
  </si>
  <si>
    <t>REQ-1072</t>
  </si>
  <si>
    <t>Emilly Moreira</t>
  </si>
  <si>
    <t>fnunes@teixeira.com</t>
  </si>
  <si>
    <t>Rafael</t>
  </si>
  <si>
    <t>Mariana Lima</t>
  </si>
  <si>
    <t>omartins@porto.com</t>
  </si>
  <si>
    <t>Ana Júlia</t>
  </si>
  <si>
    <t>Marcela Lopes</t>
  </si>
  <si>
    <t>gomeseloah@dias.net</t>
  </si>
  <si>
    <t>Maysa Souza</t>
  </si>
  <si>
    <t>ada-cruz@costela.net</t>
  </si>
  <si>
    <t>REQ-1041</t>
  </si>
  <si>
    <t>Ana Clara</t>
  </si>
  <si>
    <t>Lara Nogueira</t>
  </si>
  <si>
    <t>laviniamoreira@bol.com.br</t>
  </si>
  <si>
    <t>Levi Porto</t>
  </si>
  <si>
    <t>mendesantonio@bol.com.br</t>
  </si>
  <si>
    <t>Yasmin</t>
  </si>
  <si>
    <t>Lorena Vieira</t>
  </si>
  <si>
    <t>daniela53@uol.com.br</t>
  </si>
  <si>
    <t>Letícia</t>
  </si>
  <si>
    <t>Ana Clara Caldeira</t>
  </si>
  <si>
    <t>sda-rocha@santos.com</t>
  </si>
  <si>
    <t>REQ-1022</t>
  </si>
  <si>
    <t>Benjamin Freitas</t>
  </si>
  <si>
    <t>davi-luccapeixoto@bol.com.br</t>
  </si>
  <si>
    <t>Alana da Mata</t>
  </si>
  <si>
    <t>felipe55@uol.com.br</t>
  </si>
  <si>
    <t>Otávio Martins</t>
  </si>
  <si>
    <t>pintojulia@ig.com.br</t>
  </si>
  <si>
    <t>Eloah</t>
  </si>
  <si>
    <t>Ana Julia Ferreira</t>
  </si>
  <si>
    <t>goncalvesclarice@yahoo.com.br</t>
  </si>
  <si>
    <t>Raquel</t>
  </si>
  <si>
    <t>Nicole Cavalcanti</t>
  </si>
  <si>
    <t>duarteantonio@bol.com.br</t>
  </si>
  <si>
    <t>REQ-1035</t>
  </si>
  <si>
    <t>Gabrielly</t>
  </si>
  <si>
    <t>Benício Rodrigues</t>
  </si>
  <si>
    <t>ana-livia76@gmail.com</t>
  </si>
  <si>
    <t>Felipe</t>
  </si>
  <si>
    <t>Heloísa das Neves</t>
  </si>
  <si>
    <t>migueldas-neves@ig.com.br</t>
  </si>
  <si>
    <t>Miguel</t>
  </si>
  <si>
    <t>Danilo Pereira</t>
  </si>
  <si>
    <t>agatha73@da.org</t>
  </si>
  <si>
    <t>Sr. Pedro Henrique Melo</t>
  </si>
  <si>
    <t>carlos-eduardo02@da.net</t>
  </si>
  <si>
    <t>Kamilly</t>
  </si>
  <si>
    <t>Breno da Cruz</t>
  </si>
  <si>
    <t>goncalvespedro-miguel@mendes.org</t>
  </si>
  <si>
    <t>Mirella</t>
  </si>
  <si>
    <t>Alice da Mata</t>
  </si>
  <si>
    <t>nunespedro@silveira.net</t>
  </si>
  <si>
    <t>REQ-1039</t>
  </si>
  <si>
    <t>Levi</t>
  </si>
  <si>
    <t>Camila Duarte</t>
  </si>
  <si>
    <t>fernandesian@da.org</t>
  </si>
  <si>
    <t>Arthur</t>
  </si>
  <si>
    <t>Nicole Correia</t>
  </si>
  <si>
    <t>rebeca91@gmail.com</t>
  </si>
  <si>
    <t>Theo</t>
  </si>
  <si>
    <t>Alana Ferreira</t>
  </si>
  <si>
    <t>alexia46@barbosa.com</t>
  </si>
  <si>
    <t>Nicolas</t>
  </si>
  <si>
    <t>Dra. Maria Alves</t>
  </si>
  <si>
    <t>rezenderaquel@gmail.com</t>
  </si>
  <si>
    <t>Maria Cecília</t>
  </si>
  <si>
    <t>Daniel Ribeiro</t>
  </si>
  <si>
    <t>kaiquerocha@da.org</t>
  </si>
  <si>
    <t>João Miguel Ramos</t>
  </si>
  <si>
    <t>costadiego@bol.com.br</t>
  </si>
  <si>
    <t>João</t>
  </si>
  <si>
    <t>Joaquim Mendes</t>
  </si>
  <si>
    <t>julianaaragao@da.com</t>
  </si>
  <si>
    <t>Marcela Ferreira</t>
  </si>
  <si>
    <t>dmoura@bol.com.br</t>
  </si>
  <si>
    <t>João Guilherme</t>
  </si>
  <si>
    <t>Maria Luiza Castro</t>
  </si>
  <si>
    <t>costeladaniel@nunes.br</t>
  </si>
  <si>
    <t>Júlia Nunes</t>
  </si>
  <si>
    <t>ralves@uol.com.br</t>
  </si>
  <si>
    <t>Nathan da Paz</t>
  </si>
  <si>
    <t>thomas99@gmail.com</t>
  </si>
  <si>
    <t>REQ-1043</t>
  </si>
  <si>
    <t>Gabrielly Freitas</t>
  </si>
  <si>
    <t>cda-cunha@bol.com.br</t>
  </si>
  <si>
    <t>Sr. Levi Pinto</t>
  </si>
  <si>
    <t>novaesisadora@yahoo.com.br</t>
  </si>
  <si>
    <t>Luiz Fernando Nunes</t>
  </si>
  <si>
    <t>alvesnathan@ig.com.br</t>
  </si>
  <si>
    <t>REQ-1058</t>
  </si>
  <si>
    <t>Fernando Moura</t>
  </si>
  <si>
    <t>vinicius20@gmail.com</t>
  </si>
  <si>
    <t>Erick</t>
  </si>
  <si>
    <t>Ana Vitória Costa</t>
  </si>
  <si>
    <t>benjaminmoura@yahoo.com.br</t>
  </si>
  <si>
    <t>João Costa</t>
  </si>
  <si>
    <t>theo69@vieira.br</t>
  </si>
  <si>
    <t>Vitor Hugo da Costa</t>
  </si>
  <si>
    <t>thiago44@rezende.net</t>
  </si>
  <si>
    <t>REQ-1098</t>
  </si>
  <si>
    <t>Pedro Henrique Porto</t>
  </si>
  <si>
    <t>framos@cavalcanti.org</t>
  </si>
  <si>
    <t>Joaquim</t>
  </si>
  <si>
    <t>Sabrina Sales</t>
  </si>
  <si>
    <t>mouraelisa@rocha.br</t>
  </si>
  <si>
    <t>Ryan Jesus</t>
  </si>
  <si>
    <t>kaiqueoliveira@hotmail.com</t>
  </si>
  <si>
    <t>Diego das Neves</t>
  </si>
  <si>
    <t>juanda-luz@gmail.com</t>
  </si>
  <si>
    <t>Natália Melo</t>
  </si>
  <si>
    <t>smartins@bol.com.br</t>
  </si>
  <si>
    <t>Guilherme Nogueira</t>
  </si>
  <si>
    <t>maria-clarafarias@bol.com.br</t>
  </si>
  <si>
    <t>REQ-1049</t>
  </si>
  <si>
    <t>João Gabriel Lima</t>
  </si>
  <si>
    <t>ada-cruz@gmail.com</t>
  </si>
  <si>
    <t>REQ-1008</t>
  </si>
  <si>
    <t>Igor Sales</t>
  </si>
  <si>
    <t>beniciocavalcanti@uol.com.br</t>
  </si>
  <si>
    <t>Ana Carolina Peixoto</t>
  </si>
  <si>
    <t>evelyn30@uol.com.br</t>
  </si>
  <si>
    <t>REQ-1044</t>
  </si>
  <si>
    <t>Melissa da Cruz</t>
  </si>
  <si>
    <t>raquelpeixoto@cardoso.org</t>
  </si>
  <si>
    <t>REQ-1065</t>
  </si>
  <si>
    <t>Lucca</t>
  </si>
  <si>
    <t>Luiz Fernando Monteiro</t>
  </si>
  <si>
    <t>lcunha@hotmail.com</t>
  </si>
  <si>
    <t>Joana</t>
  </si>
  <si>
    <t>João Pedro Nascimento</t>
  </si>
  <si>
    <t>freitasana-julia@gmail.com</t>
  </si>
  <si>
    <t>Giovanna</t>
  </si>
  <si>
    <t>Ana Lívia Lopes</t>
  </si>
  <si>
    <t>correiajoaquim@porto.com</t>
  </si>
  <si>
    <t>REQ-1018</t>
  </si>
  <si>
    <t>Dra. Amanda Barbosa</t>
  </si>
  <si>
    <t>fernandestheo@goncalves.br</t>
  </si>
  <si>
    <t>REQ-1053</t>
  </si>
  <si>
    <t>Daniela Souza</t>
  </si>
  <si>
    <t>ana-carolinada-cruz@ig.com.br</t>
  </si>
  <si>
    <t>Calebe</t>
  </si>
  <si>
    <t>Heitor Fernandes</t>
  </si>
  <si>
    <t>maria-eduardanunes@moreira.br</t>
  </si>
  <si>
    <t>Ana Vitória Castro</t>
  </si>
  <si>
    <t>bernardoda-conceicao@monteiro.br</t>
  </si>
  <si>
    <t>Ana Júlia Cavalcanti</t>
  </si>
  <si>
    <t>gabriel30@uol.com.br</t>
  </si>
  <si>
    <t>Julia</t>
  </si>
  <si>
    <t>Sra. Alícia Silveira</t>
  </si>
  <si>
    <t>beatrizgoncalves@ferreira.com</t>
  </si>
  <si>
    <t>REQ-1081</t>
  </si>
  <si>
    <t>Daniel</t>
  </si>
  <si>
    <t>Sofia Souza</t>
  </si>
  <si>
    <t>erick52@goncalves.br</t>
  </si>
  <si>
    <t>Eduarda</t>
  </si>
  <si>
    <t>Julia Nogueira</t>
  </si>
  <si>
    <t>nathan21@lopes.net</t>
  </si>
  <si>
    <t>Sr. Raul Fernandes</t>
  </si>
  <si>
    <t>martinscarlos-eduardo@vieira.br</t>
  </si>
  <si>
    <t>Breno</t>
  </si>
  <si>
    <t>Sra. Evelyn Cavalcanti</t>
  </si>
  <si>
    <t>silvaana-luiza@bol.com.br</t>
  </si>
  <si>
    <t>Yago</t>
  </si>
  <si>
    <t>Yasmin Azevedo</t>
  </si>
  <si>
    <t>bgomes@cavalcanti.com</t>
  </si>
  <si>
    <t>Emanuel</t>
  </si>
  <si>
    <t>Srta. Lívia da Cruz</t>
  </si>
  <si>
    <t>ana-claracastro@hotmail.com</t>
  </si>
  <si>
    <t>Bárbara da Rocha</t>
  </si>
  <si>
    <t>benicio17@mendes.com</t>
  </si>
  <si>
    <t>Marcelo</t>
  </si>
  <si>
    <t>Kevin Sales</t>
  </si>
  <si>
    <t>brenosilva@da.br</t>
  </si>
  <si>
    <t>REQ-1096</t>
  </si>
  <si>
    <t>Carlos Eduardo Lima</t>
  </si>
  <si>
    <t>teixeiracaio@yahoo.com.br</t>
  </si>
  <si>
    <t>REQ-1078</t>
  </si>
  <si>
    <t>Noah</t>
  </si>
  <si>
    <t>Lívia Almeida</t>
  </si>
  <si>
    <t>rpereira@ig.com.br</t>
  </si>
  <si>
    <t>REQ-1060</t>
  </si>
  <si>
    <t>Maria Luiza</t>
  </si>
  <si>
    <t>Ana Julia Carvalho</t>
  </si>
  <si>
    <t>helenacardoso@teixeira.org</t>
  </si>
  <si>
    <t>REQ-1047</t>
  </si>
  <si>
    <t>Maria Cecília Silva</t>
  </si>
  <si>
    <t>jesusmarcelo@hotmail.com</t>
  </si>
  <si>
    <t>Samuel</t>
  </si>
  <si>
    <t>Gabriel Duarte</t>
  </si>
  <si>
    <t>da-luzmaria-eduarda@bol.com.br</t>
  </si>
  <si>
    <t>Lavínia</t>
  </si>
  <si>
    <t>Maria Luiza Ribeiro</t>
  </si>
  <si>
    <t>bernardomoraes@barbosa.br</t>
  </si>
  <si>
    <t>Caroline</t>
  </si>
  <si>
    <t>Cecília das Neves</t>
  </si>
  <si>
    <t>caioda-cruz@yahoo.com.br</t>
  </si>
  <si>
    <t>REQ-1050</t>
  </si>
  <si>
    <t>Mirella da Rosa</t>
  </si>
  <si>
    <t>joao-vitormoreira@hotmail.com</t>
  </si>
  <si>
    <t>REQ-1034</t>
  </si>
  <si>
    <t>Lorenzo</t>
  </si>
  <si>
    <t>santosmariana@ig.com.br</t>
  </si>
  <si>
    <t>André</t>
  </si>
  <si>
    <t>Benício Costa</t>
  </si>
  <si>
    <t>kda-cruz@fogaca.com</t>
  </si>
  <si>
    <t>Esther da Paz</t>
  </si>
  <si>
    <t>moraesnathan@yahoo.com.br</t>
  </si>
  <si>
    <t>REQ-1099</t>
  </si>
  <si>
    <t>Marina das Neves</t>
  </si>
  <si>
    <t>joaoda-cunha@ig.com.br</t>
  </si>
  <si>
    <t>Alícia Almeida</t>
  </si>
  <si>
    <t>kmonteiro@ig.com.br</t>
  </si>
  <si>
    <t>Nina Souza</t>
  </si>
  <si>
    <t>clara00@gmail.com</t>
  </si>
  <si>
    <t>REQ-1063</t>
  </si>
  <si>
    <t>Diego Castro</t>
  </si>
  <si>
    <t>marcos-viniciusporto@da.br</t>
  </si>
  <si>
    <t>Larissa Mendes</t>
  </si>
  <si>
    <t>ijesus@gmail.com</t>
  </si>
  <si>
    <t>Pedro Henrique</t>
  </si>
  <si>
    <t>Noah Nunes</t>
  </si>
  <si>
    <t>zfogaca@yahoo.com.br</t>
  </si>
  <si>
    <t>Letícia Duarte</t>
  </si>
  <si>
    <t>bianca69@uol.com.br</t>
  </si>
  <si>
    <t>Lucas Pereira</t>
  </si>
  <si>
    <t>viniciussouza@das.com</t>
  </si>
  <si>
    <t>Catarina</t>
  </si>
  <si>
    <t>Igor Dias</t>
  </si>
  <si>
    <t>andre34@ig.com.br</t>
  </si>
  <si>
    <t>REQ-1027</t>
  </si>
  <si>
    <t>Maria Vitória Nunes</t>
  </si>
  <si>
    <t>davicunha@carvalho.br</t>
  </si>
  <si>
    <t>Antônio Nogueira</t>
  </si>
  <si>
    <t>ana-lauracastro@gmail.com</t>
  </si>
  <si>
    <t>Thiago</t>
  </si>
  <si>
    <t>Ana Moura</t>
  </si>
  <si>
    <t>vianagabriela@aragao.br</t>
  </si>
  <si>
    <t>Maria Clara Ferreira</t>
  </si>
  <si>
    <t>nicolasalmeida@yahoo.com.br</t>
  </si>
  <si>
    <t>REQ-1059</t>
  </si>
  <si>
    <t>Lorena</t>
  </si>
  <si>
    <t>Elisa Pinto</t>
  </si>
  <si>
    <t>vicente69@moreira.org</t>
  </si>
  <si>
    <t>Esther Costa</t>
  </si>
  <si>
    <t>melorodrigo@santos.com</t>
  </si>
  <si>
    <t>Maria Eduarda Sales</t>
  </si>
  <si>
    <t>sofiada-cruz@vieira.net</t>
  </si>
  <si>
    <t>Cauê Costa</t>
  </si>
  <si>
    <t>gabrielacunha@novaes.br</t>
  </si>
  <si>
    <t>REQ-1019</t>
  </si>
  <si>
    <t>Vitor Gabriel Almeida</t>
  </si>
  <si>
    <t>portopietra@gmail.com</t>
  </si>
  <si>
    <t>João Lucas Pinto</t>
  </si>
  <si>
    <t>aaraujo@fernandes.br</t>
  </si>
  <si>
    <t>REQ-1077</t>
  </si>
  <si>
    <t>Lara Peixoto</t>
  </si>
  <si>
    <t>slima@pereira.org</t>
  </si>
  <si>
    <t>REQ-1028</t>
  </si>
  <si>
    <t>Isabel</t>
  </si>
  <si>
    <t>Alexia Rodrigues</t>
  </si>
  <si>
    <t>ramosevelyn@yahoo.com.br</t>
  </si>
  <si>
    <t>João Miguel</t>
  </si>
  <si>
    <t>Miguel Costela</t>
  </si>
  <si>
    <t>luiz-otavio17@lopes.com</t>
  </si>
  <si>
    <t>Matheus</t>
  </si>
  <si>
    <t>Isis da Conceição</t>
  </si>
  <si>
    <t>rezendedaniela@hotmail.com</t>
  </si>
  <si>
    <t>Ana Sophia Moraes</t>
  </si>
  <si>
    <t>brocha@hotmail.com</t>
  </si>
  <si>
    <t>Esther Ferreira</t>
  </si>
  <si>
    <t>luiz-otavioferreira@uol.com.br</t>
  </si>
  <si>
    <t>Clara Barbosa</t>
  </si>
  <si>
    <t>aferreira@bol.com.br</t>
  </si>
  <si>
    <t>Ana Julia</t>
  </si>
  <si>
    <t>Cauê Jesus</t>
  </si>
  <si>
    <t>guilhermenascimento@bol.com.br</t>
  </si>
  <si>
    <t>Matheus Pereira</t>
  </si>
  <si>
    <t>da-matabenjamin@uol.com.br</t>
  </si>
  <si>
    <t>Emanuel Nunes</t>
  </si>
  <si>
    <t>pintoandre@fogaca.com</t>
  </si>
  <si>
    <t>REQ-1016</t>
  </si>
  <si>
    <t>Amanda</t>
  </si>
  <si>
    <t>Marcelo Cardoso</t>
  </si>
  <si>
    <t>da-luzmaria@araujo.com</t>
  </si>
  <si>
    <t>Felipe da Cunha</t>
  </si>
  <si>
    <t>barbarafarias@gmail.com</t>
  </si>
  <si>
    <t>Dr. Vitor Gabriel Moura</t>
  </si>
  <si>
    <t>brendacarvalho@uol.com.br</t>
  </si>
  <si>
    <t>REQ-1013</t>
  </si>
  <si>
    <t>Daniela</t>
  </si>
  <si>
    <t>Fernanda Sales</t>
  </si>
  <si>
    <t>correiaesther@yahoo.com.br</t>
  </si>
  <si>
    <t>Julia Moraes</t>
  </si>
  <si>
    <t>bernardo65@yahoo.com.br</t>
  </si>
  <si>
    <t>Laura</t>
  </si>
  <si>
    <t>Luiza Pinto</t>
  </si>
  <si>
    <t>rodrigomoreira@da.com</t>
  </si>
  <si>
    <t>REQ-1057</t>
  </si>
  <si>
    <t>Nina</t>
  </si>
  <si>
    <t>Emanuella Pinto</t>
  </si>
  <si>
    <t>maria-juliacampos@da.br</t>
  </si>
  <si>
    <t>Dr. Gustavo Henrique Silveira</t>
  </si>
  <si>
    <t>silveiraaugusto@carvalho.com</t>
  </si>
  <si>
    <t>Bruna Correia</t>
  </si>
  <si>
    <t>melissa46@silva.net</t>
  </si>
  <si>
    <t>Lorenzo Silveira</t>
  </si>
  <si>
    <t>novaeskamilly@araujo.br</t>
  </si>
  <si>
    <t>Gabriel Moreira</t>
  </si>
  <si>
    <t>alexiavieira@moreira.br</t>
  </si>
  <si>
    <t>João Lucas</t>
  </si>
  <si>
    <t>Catarina Novaes</t>
  </si>
  <si>
    <t>nogueiralaura@carvalho.net</t>
  </si>
  <si>
    <t>Alexandre Farias</t>
  </si>
  <si>
    <t>diasana-clara@correia.net</t>
  </si>
  <si>
    <t>Otávio Jesus</t>
  </si>
  <si>
    <t>samuelbarros@hotmail.com</t>
  </si>
  <si>
    <t>Davi Nunes</t>
  </si>
  <si>
    <t>camila75@gmail.com</t>
  </si>
  <si>
    <t>Mariane Nascimento</t>
  </si>
  <si>
    <t>araujolaura@hotmail.com</t>
  </si>
  <si>
    <t>Arthur Ribeiro</t>
  </si>
  <si>
    <t>camila94@lima.org</t>
  </si>
  <si>
    <t>Gabriel</t>
  </si>
  <si>
    <t>Thomas Correia</t>
  </si>
  <si>
    <t>ana-beatriz14@ig.com.br</t>
  </si>
  <si>
    <t>Letícia da Costa</t>
  </si>
  <si>
    <t>souzapedro@ig.com.br</t>
  </si>
  <si>
    <t>Ana Sophia</t>
  </si>
  <si>
    <t>André da Costa</t>
  </si>
  <si>
    <t>ucaldeira@gmail.com</t>
  </si>
  <si>
    <t>REQ-1075</t>
  </si>
  <si>
    <t>Enzo Gabriel</t>
  </si>
  <si>
    <t>Marina Ramos</t>
  </si>
  <si>
    <t>pietra38@pires.org</t>
  </si>
  <si>
    <t>Ana Sophia da Luz</t>
  </si>
  <si>
    <t>da-luzsarah@ig.com.br</t>
  </si>
  <si>
    <t>Milena da Luz</t>
  </si>
  <si>
    <t>alvesrodrigo@moreira.br</t>
  </si>
  <si>
    <t>Dra. Eduarda Duarte</t>
  </si>
  <si>
    <t>freitasana@da.br</t>
  </si>
  <si>
    <t>Luana</t>
  </si>
  <si>
    <t>Dra. Stella Caldeira</t>
  </si>
  <si>
    <t>jrezende@uol.com.br</t>
  </si>
  <si>
    <t>Raul</t>
  </si>
  <si>
    <t>Ana Julia Lima</t>
  </si>
  <si>
    <t>carvalhofernando@farias.br</t>
  </si>
  <si>
    <t>Ana Laura</t>
  </si>
  <si>
    <t>Isadora Vieira</t>
  </si>
  <si>
    <t>bernardo43@bol.com.br</t>
  </si>
  <si>
    <t>Bruna Cardoso</t>
  </si>
  <si>
    <t>cardosoevelyn@martins.org</t>
  </si>
  <si>
    <t>Marina Barros</t>
  </si>
  <si>
    <t>luanafogaca@bol.com.br</t>
  </si>
  <si>
    <t>REQ-1046</t>
  </si>
  <si>
    <t>Nathan Nogueira</t>
  </si>
  <si>
    <t>vicentealmeida@nogueira.com</t>
  </si>
  <si>
    <t>Maria Clara</t>
  </si>
  <si>
    <t>Sra. Valentina Cunha</t>
  </si>
  <si>
    <t>sophierodrigues@alves.net</t>
  </si>
  <si>
    <t>Clarice Vieira</t>
  </si>
  <si>
    <t>carolineazevedo@uol.com.br</t>
  </si>
  <si>
    <t>Júlia Cunha</t>
  </si>
  <si>
    <t>dcaldeira@das.br</t>
  </si>
  <si>
    <t>Letícia Lima</t>
  </si>
  <si>
    <t>qsilveira@moura.com</t>
  </si>
  <si>
    <t>Pedro Miguel</t>
  </si>
  <si>
    <t>Sr. Leandro Rodrigues</t>
  </si>
  <si>
    <t>carvalhomurilo@cavalcanti.br</t>
  </si>
  <si>
    <t>Miguel Nascimento</t>
  </si>
  <si>
    <t>bmartins@oliveira.org</t>
  </si>
  <si>
    <t>Caroline das Neves</t>
  </si>
  <si>
    <t>theocastro@farias.com</t>
  </si>
  <si>
    <t>Nathan da Mota</t>
  </si>
  <si>
    <t>isadora32@das.net</t>
  </si>
  <si>
    <t>Rebeca Vieira</t>
  </si>
  <si>
    <t>raquel65@uol.com.br</t>
  </si>
  <si>
    <t>Cecília Santos</t>
  </si>
  <si>
    <t>yrezende@farias.br</t>
  </si>
  <si>
    <t>Lucas Cavalcanti</t>
  </si>
  <si>
    <t>luiz-miguelmendes@ig.com.br</t>
  </si>
  <si>
    <t>Luigi</t>
  </si>
  <si>
    <t>Sra. Ana da Cruz</t>
  </si>
  <si>
    <t>sabrinacardoso@rezende.br</t>
  </si>
  <si>
    <t>Eloah Rezende</t>
  </si>
  <si>
    <t>da-rochaisis@ramos.org</t>
  </si>
  <si>
    <t>Leandro</t>
  </si>
  <si>
    <t>Pedro Henrique da Rosa</t>
  </si>
  <si>
    <t>teixeiracaroline@porto.com</t>
  </si>
  <si>
    <t>Sra. Lorena Porto</t>
  </si>
  <si>
    <t>manueladuarte@gmail.com</t>
  </si>
  <si>
    <t>Marcos Vinicius da Mata</t>
  </si>
  <si>
    <t>zfogaca@rocha.com</t>
  </si>
  <si>
    <t>Eduarda Moreira</t>
  </si>
  <si>
    <t>zcunha@castro.br</t>
  </si>
  <si>
    <t>Clara</t>
  </si>
  <si>
    <t>Srta. Maria Fernanda Barbosa</t>
  </si>
  <si>
    <t>ana-vitoria12@uol.com.br</t>
  </si>
  <si>
    <t>Letícia da Mata</t>
  </si>
  <si>
    <t>barbaraoliveira@hotmail.com</t>
  </si>
  <si>
    <t>Francisco Martins</t>
  </si>
  <si>
    <t>qfreitas@yahoo.com.br</t>
  </si>
  <si>
    <t>Igor</t>
  </si>
  <si>
    <t>João Guilherme da Conceição</t>
  </si>
  <si>
    <t>dferreira@costela.com</t>
  </si>
  <si>
    <t>Cecília</t>
  </si>
  <si>
    <t>Ian Martins</t>
  </si>
  <si>
    <t>afreitas@gmail.com</t>
  </si>
  <si>
    <t>Pedro</t>
  </si>
  <si>
    <t>Srta. Maria Cecília Lima</t>
  </si>
  <si>
    <t>fernando22@rocha.com</t>
  </si>
  <si>
    <t>Lívia</t>
  </si>
  <si>
    <t>Luana Lopes</t>
  </si>
  <si>
    <t>kaique06@santos.com</t>
  </si>
  <si>
    <t>Gabrielly Araújo</t>
  </si>
  <si>
    <t>rebeca23@nogueira.br</t>
  </si>
  <si>
    <t>Larissa</t>
  </si>
  <si>
    <t>Diego Teixeira</t>
  </si>
  <si>
    <t>sdas-neves@uol.com.br</t>
  </si>
  <si>
    <t>Luiza da Mota</t>
  </si>
  <si>
    <t>epires@nascimento.br</t>
  </si>
  <si>
    <t>Miguel Rocha</t>
  </si>
  <si>
    <t>enovaes@barros.br</t>
  </si>
  <si>
    <t>Sophie</t>
  </si>
  <si>
    <t>Sr. Joaquim Pereira</t>
  </si>
  <si>
    <t>leonardo20@nogueira.com</t>
  </si>
  <si>
    <t>Maria Eduarda</t>
  </si>
  <si>
    <t>Breno Jesus</t>
  </si>
  <si>
    <t>amanda84@silva.br</t>
  </si>
  <si>
    <t>Lorenzo Duarte</t>
  </si>
  <si>
    <t>pedro-miguel46@ramos.net</t>
  </si>
  <si>
    <t>Carlos Eduardo Cavalcanti</t>
  </si>
  <si>
    <t>bramos@ribeiro.br</t>
  </si>
  <si>
    <t>Dr. Vinicius Souza</t>
  </si>
  <si>
    <t>da-costaana-clara@bol.com.br</t>
  </si>
  <si>
    <t>Guilherme Novaes</t>
  </si>
  <si>
    <t>brunoramos@ig.com.br</t>
  </si>
  <si>
    <t>Pietra Castro</t>
  </si>
  <si>
    <t>martinsalana@mendes.com</t>
  </si>
  <si>
    <t>Dr. Thiago Moraes</t>
  </si>
  <si>
    <t>kaique90@ig.com.br</t>
  </si>
  <si>
    <t>Valentina</t>
  </si>
  <si>
    <t>Levi Campos</t>
  </si>
  <si>
    <t>xfogaca@nogueira.org</t>
  </si>
  <si>
    <t>REQ-1097</t>
  </si>
  <si>
    <t>Luiz Felipe</t>
  </si>
  <si>
    <t>Dra. Maria Fernanda Azevedo</t>
  </si>
  <si>
    <t>jesusjulia@ramos.com</t>
  </si>
  <si>
    <t>Gabriel da Cruz</t>
  </si>
  <si>
    <t>marina01@gmail.com</t>
  </si>
  <si>
    <t>Alícia</t>
  </si>
  <si>
    <t>Carolina Pinto</t>
  </si>
  <si>
    <t>pintodanilo@campos.com</t>
  </si>
  <si>
    <t>REQ-1020</t>
  </si>
  <si>
    <t>Luiz Gustavo Jesus</t>
  </si>
  <si>
    <t>davi-luizsales@hotmail.com</t>
  </si>
  <si>
    <t>Murilo</t>
  </si>
  <si>
    <t>Sr. Lucas Lima</t>
  </si>
  <si>
    <t>ana-beatriz95@oliveira.br</t>
  </si>
  <si>
    <t>Emanuella Ribeiro</t>
  </si>
  <si>
    <t>cunhajoao-miguel@ig.com.br</t>
  </si>
  <si>
    <t>Paulo</t>
  </si>
  <si>
    <t>Dra. Camila Viana</t>
  </si>
  <si>
    <t>jsilva@moraes.br</t>
  </si>
  <si>
    <t>Melissa</t>
  </si>
  <si>
    <t>Pedro Miguel Freitas</t>
  </si>
  <si>
    <t>thales83@caldeira.net</t>
  </si>
  <si>
    <t>REQ-1010</t>
  </si>
  <si>
    <t>Dr. João Felipe Azevedo</t>
  </si>
  <si>
    <t>gabrielly44@peixoto.net</t>
  </si>
  <si>
    <t>Davi Lucca Vieira</t>
  </si>
  <si>
    <t>claricemoreira@ramos.com</t>
  </si>
  <si>
    <t>Rafael Barros</t>
  </si>
  <si>
    <t>davi-luizsilveira@yahoo.com.br</t>
  </si>
  <si>
    <t>Miguel da Mota</t>
  </si>
  <si>
    <t>maria-eduardasales@martins.br</t>
  </si>
  <si>
    <t>Sophia da Luz</t>
  </si>
  <si>
    <t>afogaca@yahoo.com.br</t>
  </si>
  <si>
    <t>Larissa Cardoso</t>
  </si>
  <si>
    <t>rafaela51@hotmail.com</t>
  </si>
  <si>
    <t>Rodrigo</t>
  </si>
  <si>
    <t>Pedro Rezende</t>
  </si>
  <si>
    <t>das-nevesguilherme@da.com</t>
  </si>
  <si>
    <t>Leandro Lima</t>
  </si>
  <si>
    <t>da-luzbenjamin@nunes.br</t>
  </si>
  <si>
    <t>Manuela</t>
  </si>
  <si>
    <t>Bruna Martins</t>
  </si>
  <si>
    <t>nfreitas@ig.com.br</t>
  </si>
  <si>
    <t>Yuri</t>
  </si>
  <si>
    <t>Sr. Daniel Monteiro</t>
  </si>
  <si>
    <t>piresnicolas@gmail.com</t>
  </si>
  <si>
    <t>João Guilherme Cardoso</t>
  </si>
  <si>
    <t>vda-mota@novaes.net</t>
  </si>
  <si>
    <t>Elisa</t>
  </si>
  <si>
    <t>Evelyn da Costa</t>
  </si>
  <si>
    <t>azevedolucas-gabriel@uol.com.br</t>
  </si>
  <si>
    <t>Joana Costela</t>
  </si>
  <si>
    <t>xviana@da.com</t>
  </si>
  <si>
    <t>Nicolas da Rocha</t>
  </si>
  <si>
    <t>cardosomariane@yahoo.com.br</t>
  </si>
  <si>
    <t>Eduarda Viana</t>
  </si>
  <si>
    <t>da-conceicaostella@uol.com.br</t>
  </si>
  <si>
    <t>Luiz Miguel</t>
  </si>
  <si>
    <t>Bernardo Barbosa</t>
  </si>
  <si>
    <t>stephany99@yahoo.com.br</t>
  </si>
  <si>
    <t>Isis</t>
  </si>
  <si>
    <t>Luna Souza</t>
  </si>
  <si>
    <t>costaguilherme@hotmail.com</t>
  </si>
  <si>
    <t>Nathan</t>
  </si>
  <si>
    <t>Marcela Silveira</t>
  </si>
  <si>
    <t>souzajoao-miguel@uol.com.br</t>
  </si>
  <si>
    <t>Dr. Pedro Miguel Vieira</t>
  </si>
  <si>
    <t>leticiajesus@da.br</t>
  </si>
  <si>
    <t>Dr. João Guilherme Cavalcanti</t>
  </si>
  <si>
    <t>amanda03@gmail.com</t>
  </si>
  <si>
    <t>Heloísa Cardoso</t>
  </si>
  <si>
    <t>duartejoao-vitor@uol.com.br</t>
  </si>
  <si>
    <t>Diego Lopes</t>
  </si>
  <si>
    <t>andre48@silva.com</t>
  </si>
  <si>
    <t>Bryan</t>
  </si>
  <si>
    <t>Ana Carolina Caldeira</t>
  </si>
  <si>
    <t>esthercorreia@uol.com.br</t>
  </si>
  <si>
    <t>Maria Alice</t>
  </si>
  <si>
    <t>Benício Jesus</t>
  </si>
  <si>
    <t>beniciojesus@gmail.com</t>
  </si>
  <si>
    <t>REQ-1061</t>
  </si>
  <si>
    <t>Marcos Vinicius</t>
  </si>
  <si>
    <t>Raquel Peixoto</t>
  </si>
  <si>
    <t>fariasisabelly@gmail.com</t>
  </si>
  <si>
    <t>Srta. Ana Júlia Almeida</t>
  </si>
  <si>
    <t>enzosilva@mendes.br</t>
  </si>
  <si>
    <t>Pedro Henrique Nunes</t>
  </si>
  <si>
    <t>enzo-gabriel28@souza.br</t>
  </si>
  <si>
    <t>Milena</t>
  </si>
  <si>
    <t>Heitor da Rosa</t>
  </si>
  <si>
    <t>goncalvesluiz-fernando@costa.org</t>
  </si>
  <si>
    <t>Juan</t>
  </si>
  <si>
    <t>Sr. Benício Rodrigues</t>
  </si>
  <si>
    <t>hribeiro@ig.com.br</t>
  </si>
  <si>
    <t>João Vitor</t>
  </si>
  <si>
    <t>Leonardo Sales</t>
  </si>
  <si>
    <t>grodrigues@bol.com.br</t>
  </si>
  <si>
    <t>Ana Teixeira</t>
  </si>
  <si>
    <t>ralmeida@bol.com.br</t>
  </si>
  <si>
    <t>Maria Vitória</t>
  </si>
  <si>
    <t>Elisa das Neves</t>
  </si>
  <si>
    <t>peixotoalice@bol.com.br</t>
  </si>
  <si>
    <t>Caroline da Cruz</t>
  </si>
  <si>
    <t>da-pazthomas@ig.com.br</t>
  </si>
  <si>
    <t>Dr. Benício Cavalcanti</t>
  </si>
  <si>
    <t>luana80@gmail.com</t>
  </si>
  <si>
    <t>Ryan Correia</t>
  </si>
  <si>
    <t>da-rosaisabella@da.net</t>
  </si>
  <si>
    <t>Calebe da Conceição</t>
  </si>
  <si>
    <t>aragaonoah@hotmail.com</t>
  </si>
  <si>
    <t>Kaique Caldeira</t>
  </si>
  <si>
    <t>carolinafarias@bol.com.br</t>
  </si>
  <si>
    <t>Dra. Laís Jesus</t>
  </si>
  <si>
    <t>maria-vitorianascimento@mendes.com</t>
  </si>
  <si>
    <t>Dr. Thiago Sales</t>
  </si>
  <si>
    <t>joao45@ig.com.br</t>
  </si>
  <si>
    <t>Sr. Erick Ramos</t>
  </si>
  <si>
    <t>peixotoelisa@monteiro.br</t>
  </si>
  <si>
    <t>Calebe Pires</t>
  </si>
  <si>
    <t>fariasyago@ig.com.br</t>
  </si>
  <si>
    <t>Rafael da Costa</t>
  </si>
  <si>
    <t>fbarbosa@hotmail.com</t>
  </si>
  <si>
    <t>Dr. Luiz Felipe Gomes</t>
  </si>
  <si>
    <t>alvesmirella@uol.com.br</t>
  </si>
  <si>
    <t>Mariana Fernandes</t>
  </si>
  <si>
    <t>correiamarcos-vinicius@rodrigues.br</t>
  </si>
  <si>
    <t>Isabelly Costa</t>
  </si>
  <si>
    <t>eduarda18@silva.com</t>
  </si>
  <si>
    <t>Thomas</t>
  </si>
  <si>
    <t>Ana Clara Duarte</t>
  </si>
  <si>
    <t>freitasisabella@moura.br</t>
  </si>
  <si>
    <t>Fernanda Fogaça</t>
  </si>
  <si>
    <t>maraujo@bol.com.br</t>
  </si>
  <si>
    <t>Maria Alice Fogaça</t>
  </si>
  <si>
    <t>nda-cunha@bol.com.br</t>
  </si>
  <si>
    <t>Cecília Viana</t>
  </si>
  <si>
    <t>murilo54@da.org</t>
  </si>
  <si>
    <t>Dr. Luiz Otávio Melo</t>
  </si>
  <si>
    <t>nferreira@dias.br</t>
  </si>
  <si>
    <t>Gustavo Henrique Lima</t>
  </si>
  <si>
    <t>augustobarbosa@lima.br</t>
  </si>
  <si>
    <t>Dra. Kamilly da Cruz</t>
  </si>
  <si>
    <t>larissarocha@campos.com</t>
  </si>
  <si>
    <t>Daniela Cavalcanti</t>
  </si>
  <si>
    <t>vda-rocha@rodrigues.org</t>
  </si>
  <si>
    <t>Kaique</t>
  </si>
  <si>
    <t>Raul Carvalho</t>
  </si>
  <si>
    <t>maria-luiza25@yahoo.com.br</t>
  </si>
  <si>
    <t>Ana Carolina</t>
  </si>
  <si>
    <t>Carlos Eduardo Araújo</t>
  </si>
  <si>
    <t>maite21@ribeiro.br</t>
  </si>
  <si>
    <t>Samuel da Cunha</t>
  </si>
  <si>
    <t>lucca35@ig.com.br</t>
  </si>
  <si>
    <t>Sra. Daniela da Conceição</t>
  </si>
  <si>
    <t>gabriela90@ferreira.com</t>
  </si>
  <si>
    <t>Alana da Mota</t>
  </si>
  <si>
    <t>ffreitas@monteiro.br</t>
  </si>
  <si>
    <t>Vitor Gabriel</t>
  </si>
  <si>
    <t>Sra. Maria Sophia Barbosa</t>
  </si>
  <si>
    <t>msouza@farias.net</t>
  </si>
  <si>
    <t>Isadora da Luz</t>
  </si>
  <si>
    <t>joao-gabriel89@gmail.com</t>
  </si>
  <si>
    <t>Pedro Henrique Barbosa</t>
  </si>
  <si>
    <t>clarada-conceicao@bol.com.br</t>
  </si>
  <si>
    <t>Paulo Campos</t>
  </si>
  <si>
    <t>sporto@pereira.net</t>
  </si>
  <si>
    <t>Sr. Erick Silva</t>
  </si>
  <si>
    <t>clara69@jesus.br</t>
  </si>
  <si>
    <t>Dra. Mariane Martins</t>
  </si>
  <si>
    <t>enzo-gabrielbarros@ig.com.br</t>
  </si>
  <si>
    <t>Dr. Juan Santos</t>
  </si>
  <si>
    <t>luiz-fernando43@gmail.com</t>
  </si>
  <si>
    <t>Vicente</t>
  </si>
  <si>
    <t>Sophie da Mata</t>
  </si>
  <si>
    <t>da-matanina@mendes.br</t>
  </si>
  <si>
    <t>Nicolas Almeida</t>
  </si>
  <si>
    <t>tcarvalho@caldeira.com</t>
  </si>
  <si>
    <t>Letícia Cunha</t>
  </si>
  <si>
    <t>joanada-paz@ig.com.br</t>
  </si>
  <si>
    <t>Yasmin Cardoso</t>
  </si>
  <si>
    <t>da-rochaheitor@gmail.com</t>
  </si>
  <si>
    <t>Maysa</t>
  </si>
  <si>
    <t>Isadora Costa</t>
  </si>
  <si>
    <t>monteiroguilherme@ig.com.br</t>
  </si>
  <si>
    <t>Sra. Larissa da Rosa</t>
  </si>
  <si>
    <t>kamilly13@rodrigues.br</t>
  </si>
  <si>
    <t>REQ-1052</t>
  </si>
  <si>
    <t>Yasmin Mendes</t>
  </si>
  <si>
    <t>luiz-henriquemoura@bol.com.br</t>
  </si>
  <si>
    <t>Lucas da Mota</t>
  </si>
  <si>
    <t>camilada-rocha@alves.br</t>
  </si>
  <si>
    <t>REQ-1084</t>
  </si>
  <si>
    <t>Carolina Novaes</t>
  </si>
  <si>
    <t>pietro36@ig.com.br</t>
  </si>
  <si>
    <t>Sra. Laura Costela</t>
  </si>
  <si>
    <t>lucca68@campos.net</t>
  </si>
  <si>
    <t>Pietra Freitas</t>
  </si>
  <si>
    <t>davi45@fogaca.com</t>
  </si>
  <si>
    <t>Bryan Dias</t>
  </si>
  <si>
    <t>erick46@lopes.com</t>
  </si>
  <si>
    <t>Maria</t>
  </si>
  <si>
    <t>Sr. Carlos Eduardo Souza</t>
  </si>
  <si>
    <t>souzaesther@gmail.com</t>
  </si>
  <si>
    <t>Clarice Nascimento</t>
  </si>
  <si>
    <t>cunhabarbara@uol.com.br</t>
  </si>
  <si>
    <t>Ryan</t>
  </si>
  <si>
    <t>Ryan Caldeira</t>
  </si>
  <si>
    <t>luiz-otavioda-costa@uol.com.br</t>
  </si>
  <si>
    <t>Heloísa Pereira</t>
  </si>
  <si>
    <t>jesusvitor-gabriel@yahoo.com.br</t>
  </si>
  <si>
    <t>Bernardo Cunha</t>
  </si>
  <si>
    <t>antoniobarbosa@yahoo.com.br</t>
  </si>
  <si>
    <t>Murilo Santos</t>
  </si>
  <si>
    <t>maria-claracastro@vieira.br</t>
  </si>
  <si>
    <t>Luiza da Rosa</t>
  </si>
  <si>
    <t>fernandacorreia@yahoo.com.br</t>
  </si>
  <si>
    <t>Heitor Rezende</t>
  </si>
  <si>
    <t>cunhacamila@azevedo.org</t>
  </si>
  <si>
    <t>Ana Lívia</t>
  </si>
  <si>
    <t>Ana Sophia Peixoto</t>
  </si>
  <si>
    <t>jbarbosa@hotmail.com</t>
  </si>
  <si>
    <t>Pedro Miguel Peixoto</t>
  </si>
  <si>
    <t>haraujo@cavalcanti.com</t>
  </si>
  <si>
    <t>Giovanna Costa</t>
  </si>
  <si>
    <t>peixotoyuri@santos.com</t>
  </si>
  <si>
    <t>Maria Alice da Paz</t>
  </si>
  <si>
    <t>almeidalais@uol.com.br</t>
  </si>
  <si>
    <t>João Vitor Peixoto</t>
  </si>
  <si>
    <t>vitor-gabrielsales@uol.com.br</t>
  </si>
  <si>
    <t>Alexandre Novaes</t>
  </si>
  <si>
    <t>danilonunes@uol.com.br</t>
  </si>
  <si>
    <t>Juliana Rezende</t>
  </si>
  <si>
    <t>pintonina@campos.com</t>
  </si>
  <si>
    <t>Lorenzo Aragão</t>
  </si>
  <si>
    <t>brenoazevedo@yahoo.com.br</t>
  </si>
  <si>
    <t>Dr. Guilherme Barbosa</t>
  </si>
  <si>
    <t>laviniaviana@yahoo.com.br</t>
  </si>
  <si>
    <t>Emanuel Rodrigues</t>
  </si>
  <si>
    <t>nogueirayago@uol.com.br</t>
  </si>
  <si>
    <t>Dr. Kaique Duarte</t>
  </si>
  <si>
    <t>ymoura@gmail.com</t>
  </si>
  <si>
    <t>Maria Sophia da Cruz</t>
  </si>
  <si>
    <t>joao-felipe25@bol.com.br</t>
  </si>
  <si>
    <t>Vitor Dias</t>
  </si>
  <si>
    <t>joao-vitornovaes@silveira.com</t>
  </si>
  <si>
    <t>Dr. Cauã Almeida</t>
  </si>
  <si>
    <t>gustavo-henriqueda-cruz@hotmail.com</t>
  </si>
  <si>
    <t>Paulo Souza</t>
  </si>
  <si>
    <t>zcunha@rodrigues.net</t>
  </si>
  <si>
    <t>Otávio Costa</t>
  </si>
  <si>
    <t>maria94@bol.com.br</t>
  </si>
  <si>
    <t>Sr. Ian Carvalho</t>
  </si>
  <si>
    <t>araujomaysa@araujo.br</t>
  </si>
  <si>
    <t>Luiz Gustavo Costela</t>
  </si>
  <si>
    <t>lgoncalves@ig.com.br</t>
  </si>
  <si>
    <t>Melissa Alves</t>
  </si>
  <si>
    <t>carlos-eduardogomes@costela.br</t>
  </si>
  <si>
    <t>Clara Teixeira</t>
  </si>
  <si>
    <t>osilva@yahoo.com.br</t>
  </si>
  <si>
    <t>Igor Farias</t>
  </si>
  <si>
    <t>limaemilly@bol.com.br</t>
  </si>
  <si>
    <t>Vitória Lima</t>
  </si>
  <si>
    <t>luana63@barros.org</t>
  </si>
  <si>
    <t>Luiz Otávio Oliveira</t>
  </si>
  <si>
    <t>mendeskaique@gmail.com</t>
  </si>
  <si>
    <t>Samuel Caldeira</t>
  </si>
  <si>
    <t>isabelly21@da.net</t>
  </si>
  <si>
    <t>Sofia Pereira</t>
  </si>
  <si>
    <t>anthony50@ribeiro.br</t>
  </si>
  <si>
    <t>Enzo Gabriel Ribeiro</t>
  </si>
  <si>
    <t>lara29@sales.br</t>
  </si>
  <si>
    <t>Eduarda Araújo</t>
  </si>
  <si>
    <t>portolevi@hotmail.com</t>
  </si>
  <si>
    <t>Ana Lívia da Costa</t>
  </si>
  <si>
    <t>joao-miguelpires@ig.com.br</t>
  </si>
  <si>
    <t>Francisco Silveira</t>
  </si>
  <si>
    <t>goncalvesjoao-guilherme@viana.net</t>
  </si>
  <si>
    <t>Thales Nogueira</t>
  </si>
  <si>
    <t>cecilia07@monteiro.br</t>
  </si>
  <si>
    <t>Levi da Costa</t>
  </si>
  <si>
    <t>emoraes@uol.com.br</t>
  </si>
  <si>
    <t>Dr. Diogo da Costa</t>
  </si>
  <si>
    <t>oliviagoncalves@rocha.br</t>
  </si>
  <si>
    <t>Luiz Henrique da Costa</t>
  </si>
  <si>
    <t>gabrielly72@martins.com</t>
  </si>
  <si>
    <t>Danilo</t>
  </si>
  <si>
    <t>Matheus da Conceição</t>
  </si>
  <si>
    <t>luigiaraujo@hotmail.com</t>
  </si>
  <si>
    <t>Murilo Moura</t>
  </si>
  <si>
    <t>amoraes@monteiro.com</t>
  </si>
  <si>
    <t>Dr. Erick Melo</t>
  </si>
  <si>
    <t>joao-miguelmoura@monteiro.br</t>
  </si>
  <si>
    <t>Dr. João Porto</t>
  </si>
  <si>
    <t>hda-conceicao@bol.com.br</t>
  </si>
  <si>
    <t>Gustavo Henrique Azevedo</t>
  </si>
  <si>
    <t>silvaisabelly@ferreira.com</t>
  </si>
  <si>
    <t>Sr. Miguel Rezende</t>
  </si>
  <si>
    <t>da-cruzmarina@da.com</t>
  </si>
  <si>
    <t>Bárbara Ferreira</t>
  </si>
  <si>
    <t>isabellada-rosa@yahoo.com.br</t>
  </si>
  <si>
    <t>Cecília Costela</t>
  </si>
  <si>
    <t>alicegomes@bol.com.br</t>
  </si>
  <si>
    <t>Dr. Marcelo das Neves</t>
  </si>
  <si>
    <t>melissateixeira@yahoo.com.br</t>
  </si>
  <si>
    <t>Marcelo da Mota</t>
  </si>
  <si>
    <t>yuri20@silva.net</t>
  </si>
  <si>
    <t>Heitor Cavalcanti</t>
  </si>
  <si>
    <t>cgomes@almeida.com</t>
  </si>
  <si>
    <t>Otávio Rezende</t>
  </si>
  <si>
    <t>ana-julia70@nascimento.org</t>
  </si>
  <si>
    <t>Juliana Rodrigues</t>
  </si>
  <si>
    <t>marcos-vinicius62@yahoo.com.br</t>
  </si>
  <si>
    <t>João Guilherme Nascimento</t>
  </si>
  <si>
    <t>maysacarvalho@rocha.br</t>
  </si>
  <si>
    <t>Amanda Cunha</t>
  </si>
  <si>
    <t>isis29@melo.com</t>
  </si>
  <si>
    <t>Emilly Nascimento</t>
  </si>
  <si>
    <t>costelaana-luiza@moura.br</t>
  </si>
  <si>
    <t>Nicolas Lima</t>
  </si>
  <si>
    <t>hmonteiro@ig.com.br</t>
  </si>
  <si>
    <t>Sr. Renan Sales</t>
  </si>
  <si>
    <t>heitor09@da.com</t>
  </si>
  <si>
    <t>Enzo</t>
  </si>
  <si>
    <t>Diogo Aragão</t>
  </si>
  <si>
    <t>rebecamonteiro@ig.com.br</t>
  </si>
  <si>
    <t>Sra. Alice Cardoso</t>
  </si>
  <si>
    <t>nunesluiz-gustavo@hotmail.com</t>
  </si>
  <si>
    <t>Maria Alice Silva</t>
  </si>
  <si>
    <t>xvieira@hotmail.com</t>
  </si>
  <si>
    <t>Pietro</t>
  </si>
  <si>
    <t>Henrique da Luz</t>
  </si>
  <si>
    <t>luiz-fernandomonteiro@yahoo.com.br</t>
  </si>
  <si>
    <t>Sabrina da Conceição</t>
  </si>
  <si>
    <t>joao-gabriel20@uol.com.br</t>
  </si>
  <si>
    <t>emanuelly93@farias.br</t>
  </si>
  <si>
    <t>Sr. Noah Fernandes</t>
  </si>
  <si>
    <t>stella22@hotmail.com</t>
  </si>
  <si>
    <t>João Guilherme Porto</t>
  </si>
  <si>
    <t>thales34@fogaca.br</t>
  </si>
  <si>
    <t>Dr. Vicente Gomes</t>
  </si>
  <si>
    <t>stellaoliveira@rodrigues.com</t>
  </si>
  <si>
    <t>Marcelo da Costa</t>
  </si>
  <si>
    <t>melissapereira@costa.br</t>
  </si>
  <si>
    <t>Caio</t>
  </si>
  <si>
    <t>Lorena Nunes</t>
  </si>
  <si>
    <t>moraeslucas-gabriel@gmail.com</t>
  </si>
  <si>
    <t>Murilo Souza</t>
  </si>
  <si>
    <t>marianeda-rosa@bol.com.br</t>
  </si>
  <si>
    <t>Sr. Arthur Oliveira</t>
  </si>
  <si>
    <t>ulopes@ramos.br</t>
  </si>
  <si>
    <t>Isis Dias</t>
  </si>
  <si>
    <t>lucca80@ig.com.br</t>
  </si>
  <si>
    <t>Alana</t>
  </si>
  <si>
    <t>Mariane Fogaça</t>
  </si>
  <si>
    <t>vitor-hugo39@gmail.com</t>
  </si>
  <si>
    <t>Laís Souza</t>
  </si>
  <si>
    <t>da-luzarthur@farias.com</t>
  </si>
  <si>
    <t>Gabriel Nogueira</t>
  </si>
  <si>
    <t>livia09@peixoto.com</t>
  </si>
  <si>
    <t>Srta. Maitê Cardoso</t>
  </si>
  <si>
    <t>francisco82@gmail.com</t>
  </si>
  <si>
    <t>Otávio da Costa</t>
  </si>
  <si>
    <t>da-conceicaobianca@barbosa.org</t>
  </si>
  <si>
    <t>Carlos Eduardo Cunha</t>
  </si>
  <si>
    <t>gustavo-henriquecorreia@nunes.net</t>
  </si>
  <si>
    <t>Davi Lucas da Luz</t>
  </si>
  <si>
    <t>vrocha@hotmail.com</t>
  </si>
  <si>
    <t>Julia da Cruz</t>
  </si>
  <si>
    <t>yuri24@hotmail.com</t>
  </si>
  <si>
    <t>Juliana Fernandes</t>
  </si>
  <si>
    <t>cauamonteiro@aragao.br</t>
  </si>
  <si>
    <t>REQ-1093</t>
  </si>
  <si>
    <t>Sr. Vinicius Araújo</t>
  </si>
  <si>
    <t>almeidaalexia@hotmail.com</t>
  </si>
  <si>
    <t>Maria Eduarda Novaes</t>
  </si>
  <si>
    <t>paulo25@souza.com</t>
  </si>
  <si>
    <t>Alice Fernandes</t>
  </si>
  <si>
    <t>sda-mata@porto.com</t>
  </si>
  <si>
    <t>Sr. Kevin Cavalcanti</t>
  </si>
  <si>
    <t>costajoao-vitor@ferreira.com</t>
  </si>
  <si>
    <t>Isaac Vieira</t>
  </si>
  <si>
    <t>liviaoliveira@fogaca.com</t>
  </si>
  <si>
    <t>Manuela Silva</t>
  </si>
  <si>
    <t>correialuana@farias.br</t>
  </si>
  <si>
    <t>Emanuelly</t>
  </si>
  <si>
    <t>Enrico Cardoso</t>
  </si>
  <si>
    <t>ana-luiza39@ig.com.br</t>
  </si>
  <si>
    <t>Samuel Ribeiro</t>
  </si>
  <si>
    <t>emillycavalcanti@hotmail.com</t>
  </si>
  <si>
    <t>Sra. Stella Ribeiro</t>
  </si>
  <si>
    <t>camposgabrielly@azevedo.org</t>
  </si>
  <si>
    <t>Pietra Aragão</t>
  </si>
  <si>
    <t>caua86@da.br</t>
  </si>
  <si>
    <t>Eduardo Ribeiro</t>
  </si>
  <si>
    <t>monteiromaria-clara@gmail.com</t>
  </si>
  <si>
    <t>Kaique Gonçalves</t>
  </si>
  <si>
    <t>santosdiego@yahoo.com.br</t>
  </si>
  <si>
    <t>Clarice Novaes</t>
  </si>
  <si>
    <t>fferreira@bol.com.br</t>
  </si>
  <si>
    <t>Sra. Gabrielly Nunes</t>
  </si>
  <si>
    <t>icastro@hotmail.com</t>
  </si>
  <si>
    <t>Ana Sophia Monteiro</t>
  </si>
  <si>
    <t>livia55@santos.br</t>
  </si>
  <si>
    <t>Ana Lívia Ramos</t>
  </si>
  <si>
    <t>lorenacorreia@uol.com.br</t>
  </si>
  <si>
    <t>Fernando</t>
  </si>
  <si>
    <t>Sr. Noah Silva</t>
  </si>
  <si>
    <t>esther25@ramos.net</t>
  </si>
  <si>
    <t>Dra. Bárbara Lopes</t>
  </si>
  <si>
    <t>vitormoura@yahoo.com.br</t>
  </si>
  <si>
    <t>gustavo-henrique68@da.com</t>
  </si>
  <si>
    <t>Ana Julia Vieira</t>
  </si>
  <si>
    <t>cardosofernanda@silva.br</t>
  </si>
  <si>
    <t>Srta. Sarah Duarte</t>
  </si>
  <si>
    <t>martinsnicolas@yahoo.com.br</t>
  </si>
  <si>
    <t>Ana Beatriz Nascimento</t>
  </si>
  <si>
    <t>cecilia83@hotmail.com</t>
  </si>
  <si>
    <t>Letícia Nascimento</t>
  </si>
  <si>
    <t>tpeixoto@uol.com.br</t>
  </si>
  <si>
    <t>Eduardo</t>
  </si>
  <si>
    <t>Ana Luiza da Mata</t>
  </si>
  <si>
    <t>alana49@cavalcanti.br</t>
  </si>
  <si>
    <t>Maria Cecília Jesus</t>
  </si>
  <si>
    <t>pintoryan@gmail.com</t>
  </si>
  <si>
    <t>Diego Peixoto</t>
  </si>
  <si>
    <t>ribeiromatheus@barbosa.br</t>
  </si>
  <si>
    <t>Gabrielly Azevedo</t>
  </si>
  <si>
    <t>dviana@cunha.br</t>
  </si>
  <si>
    <t>Yasmin Costa</t>
  </si>
  <si>
    <t>portoisabella@yahoo.com.br</t>
  </si>
  <si>
    <t>Srta. Mirella Rocha</t>
  </si>
  <si>
    <t>miguel52@costela.com</t>
  </si>
  <si>
    <t>João Felipe Gonçalves</t>
  </si>
  <si>
    <t>ecavalcanti@gmail.com</t>
  </si>
  <si>
    <t>Vitor Hugo Martins</t>
  </si>
  <si>
    <t>joanaramos@bol.com.br</t>
  </si>
  <si>
    <t>Emanuella Costa</t>
  </si>
  <si>
    <t>aragaocaio@mendes.org</t>
  </si>
  <si>
    <t>Valentina Novaes</t>
  </si>
  <si>
    <t>guilhermecostela@hotmail.com</t>
  </si>
  <si>
    <t>Lara</t>
  </si>
  <si>
    <t>Bárbara da Mata</t>
  </si>
  <si>
    <t>lucas-gabriel94@hotmail.com</t>
  </si>
  <si>
    <t>Maria Luiza Cardoso</t>
  </si>
  <si>
    <t>catarina33@gmail.com</t>
  </si>
  <si>
    <t>Dr. Isaac Silveira</t>
  </si>
  <si>
    <t>silvaana-sophia@hotmail.com</t>
  </si>
  <si>
    <t>Murilo Pires</t>
  </si>
  <si>
    <t>lporto@da.com</t>
  </si>
  <si>
    <t>Maria Vitória Lima</t>
  </si>
  <si>
    <t>raul38@ig.com.br</t>
  </si>
  <si>
    <t>Isadora</t>
  </si>
  <si>
    <t>Sr. Bernardo Novaes</t>
  </si>
  <si>
    <t>sarah99@gomes.com</t>
  </si>
  <si>
    <t>Benjamin Lopes</t>
  </si>
  <si>
    <t>vmoreira@yahoo.com.br</t>
  </si>
  <si>
    <t>almeidaian@da.com</t>
  </si>
  <si>
    <t>Maria Carvalho</t>
  </si>
  <si>
    <t>correiamariane@azevedo.br</t>
  </si>
  <si>
    <t>Dr. João Miguel Azevedo</t>
  </si>
  <si>
    <t>davi01@uol.com.br</t>
  </si>
  <si>
    <t>Sr. Vinicius Peixoto</t>
  </si>
  <si>
    <t>pda-conceicao@uol.com.br</t>
  </si>
  <si>
    <t>Sr. João Guilherme Carvalho</t>
  </si>
  <si>
    <t>ida-rocha@souza.net</t>
  </si>
  <si>
    <t>Paulo Costela</t>
  </si>
  <si>
    <t>luiza84@almeida.br</t>
  </si>
  <si>
    <t>Natália das Neves</t>
  </si>
  <si>
    <t>pietrolopes@freitas.com</t>
  </si>
  <si>
    <t>Cauê Aragão</t>
  </si>
  <si>
    <t>lucas-gabriel11@farias.com</t>
  </si>
  <si>
    <t>Anthony Souza</t>
  </si>
  <si>
    <t>eda-paz@cavalcanti.org</t>
  </si>
  <si>
    <t>Nathan Porto</t>
  </si>
  <si>
    <t>vitor14@gmail.com</t>
  </si>
  <si>
    <t>Isadora Almeida</t>
  </si>
  <si>
    <t>silvanathan@ribeiro.net</t>
  </si>
  <si>
    <t>Leonardo Azevedo</t>
  </si>
  <si>
    <t>sarah39@jesus.org</t>
  </si>
  <si>
    <t>Helena Nascimento</t>
  </si>
  <si>
    <t>anthonyramos@dias.br</t>
  </si>
  <si>
    <t>João Felipe Lima</t>
  </si>
  <si>
    <t>clarice21@pinto.br</t>
  </si>
  <si>
    <t>Isabelly da Luz</t>
  </si>
  <si>
    <t>fmoreira@uol.com.br</t>
  </si>
  <si>
    <t>Maria Julia Moraes</t>
  </si>
  <si>
    <t>clopes@moura.com</t>
  </si>
  <si>
    <t>camilaalves@ramos.br</t>
  </si>
  <si>
    <t>Luiz Gustavo</t>
  </si>
  <si>
    <t>Vitor Gabriel Novaes</t>
  </si>
  <si>
    <t>dcarvalho@silveira.com</t>
  </si>
  <si>
    <t>Benjamin Fogaça</t>
  </si>
  <si>
    <t>theoda-costa@nogueira.br</t>
  </si>
  <si>
    <t>REQ-1089</t>
  </si>
  <si>
    <t>Dr. Paulo da Rosa</t>
  </si>
  <si>
    <t>cavalcantithales@pereira.org</t>
  </si>
  <si>
    <t>Luiz Fernando Porto</t>
  </si>
  <si>
    <t>moraesmirella@nogueira.com</t>
  </si>
  <si>
    <t>Vitor Gabriel Gomes</t>
  </si>
  <si>
    <t>ana-laura72@silveira.org</t>
  </si>
  <si>
    <t>Felipe Pires</t>
  </si>
  <si>
    <t>joao-vitor05@gmail.com</t>
  </si>
  <si>
    <t>Vitória</t>
  </si>
  <si>
    <t>Caio Moura</t>
  </si>
  <si>
    <t>oda-mata@freitas.com</t>
  </si>
  <si>
    <t>Luiza Martins</t>
  </si>
  <si>
    <t>martinssabrina@moreira.org</t>
  </si>
  <si>
    <t>Agatha Monteiro</t>
  </si>
  <si>
    <t>lorenapinto@martins.br</t>
  </si>
  <si>
    <t>Benjamin Nunes</t>
  </si>
  <si>
    <t>vitor-gabrielcarvalho@ig.com.br</t>
  </si>
  <si>
    <t>Luiza das Neves</t>
  </si>
  <si>
    <t>anthony38@rodrigues.com</t>
  </si>
  <si>
    <t>Maria Vitória da Luz</t>
  </si>
  <si>
    <t>marianecaldeira@ig.com.br</t>
  </si>
  <si>
    <t>Juan Lima</t>
  </si>
  <si>
    <t>ffarias@yahoo.com.br</t>
  </si>
  <si>
    <t>Luna da Mota</t>
  </si>
  <si>
    <t>alopes@gomes.com</t>
  </si>
  <si>
    <t>Caroline da Mata</t>
  </si>
  <si>
    <t>da-cruzeduardo@farias.br</t>
  </si>
  <si>
    <t>REQ-1009</t>
  </si>
  <si>
    <t>Mirella Monteiro</t>
  </si>
  <si>
    <t>qcarvalho@ig.com.br</t>
  </si>
  <si>
    <t>Emanuel da Costa</t>
  </si>
  <si>
    <t>esther17@yahoo.com.br</t>
  </si>
  <si>
    <t>Gustavo Azevedo</t>
  </si>
  <si>
    <t>piresmarcelo@dias.br</t>
  </si>
  <si>
    <t>Maria das Neves</t>
  </si>
  <si>
    <t>sophia50@ig.com.br</t>
  </si>
  <si>
    <t>Cauã Silva</t>
  </si>
  <si>
    <t>souzamarcos-vinicius@hotmail.com</t>
  </si>
  <si>
    <t>gomesheloisa@yahoo.com.br</t>
  </si>
  <si>
    <t>Alice Barros</t>
  </si>
  <si>
    <t>da-rosaandre@gmail.com</t>
  </si>
  <si>
    <t>Diego Porto</t>
  </si>
  <si>
    <t>jpires@da.net</t>
  </si>
  <si>
    <t>Luiz Henrique</t>
  </si>
  <si>
    <t>Lorena Fernandes</t>
  </si>
  <si>
    <t>lopessofia@freitas.br</t>
  </si>
  <si>
    <t>Sabrina</t>
  </si>
  <si>
    <t>Fernando Pereira</t>
  </si>
  <si>
    <t>erickpeixoto@da.com</t>
  </si>
  <si>
    <t>Cauã Sales</t>
  </si>
  <si>
    <t>amanda85@hotmail.com</t>
  </si>
  <si>
    <t>Dr. Davi Lucas Ramos</t>
  </si>
  <si>
    <t>martinsluiz-miguel@goncalves.br</t>
  </si>
  <si>
    <t>Isabelly Correia</t>
  </si>
  <si>
    <t>luiz-felipe63@gmail.com</t>
  </si>
  <si>
    <t>Maria Correia</t>
  </si>
  <si>
    <t>emanuella25@freitas.br</t>
  </si>
  <si>
    <t>Ana Júlia Barbosa</t>
  </si>
  <si>
    <t>luiz-henriquefogaca@caldeira.br</t>
  </si>
  <si>
    <t>Sr. Vicente Barros</t>
  </si>
  <si>
    <t>lopeslara@da.br</t>
  </si>
  <si>
    <t>Rafaela</t>
  </si>
  <si>
    <t>Sra. Ana Lívia Ribeiro</t>
  </si>
  <si>
    <t>lteixeira@peixoto.com</t>
  </si>
  <si>
    <t>Brenda Azevedo</t>
  </si>
  <si>
    <t>fernando86@yahoo.com.br</t>
  </si>
  <si>
    <t>Dr. Miguel Cardoso</t>
  </si>
  <si>
    <t>barbara64@ig.com.br</t>
  </si>
  <si>
    <t>Esther</t>
  </si>
  <si>
    <t>Alana Melo</t>
  </si>
  <si>
    <t>elisa66@rodrigues.com</t>
  </si>
  <si>
    <t>Bárbara Viana</t>
  </si>
  <si>
    <t>waragao@bol.com.br</t>
  </si>
  <si>
    <t>Lucas Nunes</t>
  </si>
  <si>
    <t>wpeixoto@pires.org</t>
  </si>
  <si>
    <t>Alexia Moraes</t>
  </si>
  <si>
    <t>silvajoana@gmail.com</t>
  </si>
  <si>
    <t>Gabriel Azevedo</t>
  </si>
  <si>
    <t>rodriguescaio@da.br</t>
  </si>
  <si>
    <t>Eduarda Correia</t>
  </si>
  <si>
    <t>joanacarvalho@goncalves.br</t>
  </si>
  <si>
    <t>João Miguel Pinto</t>
  </si>
  <si>
    <t>monteiromatheus@ig.com.br</t>
  </si>
  <si>
    <t>Júlia</t>
  </si>
  <si>
    <t>Enzo Gabriel Dias</t>
  </si>
  <si>
    <t>diaslucas@ig.com.br</t>
  </si>
  <si>
    <t>Cauê</t>
  </si>
  <si>
    <t>Julia Mendes</t>
  </si>
  <si>
    <t>marianeda-mota@uol.com.br</t>
  </si>
  <si>
    <t>Leonardo Correia</t>
  </si>
  <si>
    <t>daviaraujo@da.org</t>
  </si>
  <si>
    <t>Benício das Neves</t>
  </si>
  <si>
    <t>henriquegoncalves@ig.com.br</t>
  </si>
  <si>
    <t>Juan Viana</t>
  </si>
  <si>
    <t>arthurnogueira@gmail.com</t>
  </si>
  <si>
    <t>Danilo Moreira</t>
  </si>
  <si>
    <t>goncalvesgiovanna@da.br</t>
  </si>
  <si>
    <t>Sra. Emanuelly da Rocha</t>
  </si>
  <si>
    <t>gabriel35@barbosa.br</t>
  </si>
  <si>
    <t>Enrico Dias</t>
  </si>
  <si>
    <t>luizafreitas@uol.com.br</t>
  </si>
  <si>
    <t>Camila Teixeira</t>
  </si>
  <si>
    <t>caroline15@cardoso.com</t>
  </si>
  <si>
    <t>Brenda Rodrigues</t>
  </si>
  <si>
    <t>ana-liviateixeira@moura.com</t>
  </si>
  <si>
    <t>Ana Beatriz Araújo</t>
  </si>
  <si>
    <t>lucca09@cardoso.org</t>
  </si>
  <si>
    <t>Marcos Vinicius das Neves</t>
  </si>
  <si>
    <t>carolinamoura@bol.com.br</t>
  </si>
  <si>
    <t>Davi Alves</t>
  </si>
  <si>
    <t>iduarte@almeida.br</t>
  </si>
  <si>
    <t>Larissa Costa</t>
  </si>
  <si>
    <t>almeidaemanuel@sales.br</t>
  </si>
  <si>
    <t>Srta. Carolina Fernandes</t>
  </si>
  <si>
    <t>gmoraes@yahoo.com.br</t>
  </si>
  <si>
    <t>Luiz Felipe Gonçalves</t>
  </si>
  <si>
    <t>moreiracaua@ferreira.br</t>
  </si>
  <si>
    <t>Clarice Melo</t>
  </si>
  <si>
    <t>udias@pires.com</t>
  </si>
  <si>
    <t>da-rosapietro@hotmail.com</t>
  </si>
  <si>
    <t>Ryan Barros</t>
  </si>
  <si>
    <t>augustonunes@nunes.com</t>
  </si>
  <si>
    <t>Sr. Calebe Freitas</t>
  </si>
  <si>
    <t>ramosian@bol.com.br</t>
  </si>
  <si>
    <t>Ana Clara Fogaça</t>
  </si>
  <si>
    <t>ana-carolina83@uol.com.br</t>
  </si>
  <si>
    <t>Larissa Nascimento</t>
  </si>
  <si>
    <t>bruno68@rocha.org</t>
  </si>
  <si>
    <t>Thomas Gonçalves</t>
  </si>
  <si>
    <t>novaesdiogo@dias.br</t>
  </si>
  <si>
    <t>Luana das Neves</t>
  </si>
  <si>
    <t>lauraferreira@porto.br</t>
  </si>
  <si>
    <t>Yago Duarte</t>
  </si>
  <si>
    <t>da-costaalexandre@yahoo.com.br</t>
  </si>
  <si>
    <t>Maria Viana</t>
  </si>
  <si>
    <t>costaigor@hotmail.com</t>
  </si>
  <si>
    <t>Raquel da Cruz</t>
  </si>
  <si>
    <t>thalesramos@yahoo.com.br</t>
  </si>
  <si>
    <t>Emanuelly da Costa</t>
  </si>
  <si>
    <t>natalia61@silveira.org</t>
  </si>
  <si>
    <t>Enzo Moreira</t>
  </si>
  <si>
    <t>nda-luz@gmail.com</t>
  </si>
  <si>
    <t>Dra. Yasmin Mendes</t>
  </si>
  <si>
    <t>ipinto@jesus.org</t>
  </si>
  <si>
    <t>Sr. Antônio da Luz</t>
  </si>
  <si>
    <t>da-pazigor@pereira.br</t>
  </si>
  <si>
    <t>Sofia Porto</t>
  </si>
  <si>
    <t>carvalhoemilly@barros.br</t>
  </si>
  <si>
    <t>Lívia Alves</t>
  </si>
  <si>
    <t>maria-eduardadias@ramos.org</t>
  </si>
  <si>
    <t>Juan Farias</t>
  </si>
  <si>
    <t>leandro44@das.com</t>
  </si>
  <si>
    <t>Raquel Silva</t>
  </si>
  <si>
    <t>ana-sophiafarias@cunha.com</t>
  </si>
  <si>
    <t>Sr. Luigi Viana</t>
  </si>
  <si>
    <t>wda-cunha@nunes.br</t>
  </si>
  <si>
    <t>Yuri Moraes</t>
  </si>
  <si>
    <t>bmonteiro@bol.com.br</t>
  </si>
  <si>
    <t>Giovanna Pinto</t>
  </si>
  <si>
    <t>agatha74@uol.com.br</t>
  </si>
  <si>
    <t>marcela72@bol.com.br</t>
  </si>
  <si>
    <t>yasminda-cunha@souza.com</t>
  </si>
  <si>
    <t>Luiz Miguel Gonçalves</t>
  </si>
  <si>
    <t>antonioda-conceicao@bol.com.br</t>
  </si>
  <si>
    <t>Dr. Kevin Barbosa</t>
  </si>
  <si>
    <t>ferreiraana-vitoria@hotmail.com</t>
  </si>
  <si>
    <t>Ana Laura Nogueira</t>
  </si>
  <si>
    <t>brenda16@ramos.com</t>
  </si>
  <si>
    <t>Calebe das Neves</t>
  </si>
  <si>
    <t>juanda-mata@almeida.br</t>
  </si>
  <si>
    <t>Srta. Pietra Dias</t>
  </si>
  <si>
    <t>dteixeira@nogueira.com</t>
  </si>
  <si>
    <t>Vitor Nascimento</t>
  </si>
  <si>
    <t>luiz-gustavofernandes@uol.com.br</t>
  </si>
  <si>
    <t>Bárbara Teixeira</t>
  </si>
  <si>
    <t>da-conceicaoana@ig.com.br</t>
  </si>
  <si>
    <t>Felipe Ramos</t>
  </si>
  <si>
    <t>davipeixoto@hotmail.com</t>
  </si>
  <si>
    <t>Lavínia Dias</t>
  </si>
  <si>
    <t>monteiromaria-eduarda@yahoo.com.br</t>
  </si>
  <si>
    <t>Noah Silveira</t>
  </si>
  <si>
    <t>gpeixoto@gmail.com</t>
  </si>
  <si>
    <t>Maria Barbosa</t>
  </si>
  <si>
    <t>noahnogueira@hotmail.com</t>
  </si>
  <si>
    <t>Isadora Duarte</t>
  </si>
  <si>
    <t>bruna00@ribeiro.org</t>
  </si>
  <si>
    <t>Sra. Caroline Castro</t>
  </si>
  <si>
    <t>vcardoso@ig.com.br</t>
  </si>
  <si>
    <t>Maitê</t>
  </si>
  <si>
    <t>Julia Pereira</t>
  </si>
  <si>
    <t>freitasmarcos-vinicius@melo.com</t>
  </si>
  <si>
    <t>Pietra</t>
  </si>
  <si>
    <t>Mirella Peixoto</t>
  </si>
  <si>
    <t>joao-gabrielcardoso@santos.com</t>
  </si>
  <si>
    <t>Benjamin Silva</t>
  </si>
  <si>
    <t>arthuralmeida@ig.com.br</t>
  </si>
  <si>
    <t>Pedro Lucas da Luz</t>
  </si>
  <si>
    <t>rodrigo95@rezende.br</t>
  </si>
  <si>
    <t>Nina Oliveira</t>
  </si>
  <si>
    <t>fogacaalana@ferreira.com</t>
  </si>
  <si>
    <t>Elisa Cavalcanti</t>
  </si>
  <si>
    <t>ucavalcanti@uol.com.br</t>
  </si>
  <si>
    <t>Joaquim Araújo</t>
  </si>
  <si>
    <t>tpeixoto@yahoo.com.br</t>
  </si>
  <si>
    <t>Sr. Kevin Correia</t>
  </si>
  <si>
    <t>araujobreno@martins.com</t>
  </si>
  <si>
    <t>Beatriz</t>
  </si>
  <si>
    <t>Benício Fernandes</t>
  </si>
  <si>
    <t>moreiramilena@da.com</t>
  </si>
  <si>
    <t>Luna Pereira</t>
  </si>
  <si>
    <t>nda-conceicao@monteiro.com</t>
  </si>
  <si>
    <t>Lucas Lopes</t>
  </si>
  <si>
    <t>tbarbosa@ig.com.br</t>
  </si>
  <si>
    <t>Caroline da Rosa</t>
  </si>
  <si>
    <t>nfogaca@yahoo.com.br</t>
  </si>
  <si>
    <t>Rebeca</t>
  </si>
  <si>
    <t>Ana Sophia Moura</t>
  </si>
  <si>
    <t>diogopeixoto@yahoo.com.br</t>
  </si>
  <si>
    <t>Luna Carvalho</t>
  </si>
  <si>
    <t>joao-vitorda-conceicao@uol.com.br</t>
  </si>
  <si>
    <t>Ana Vitória Pinto</t>
  </si>
  <si>
    <t>irodrigues@hotmail.com</t>
  </si>
  <si>
    <t>Clarice Moraes</t>
  </si>
  <si>
    <t>kribeiro@hotmail.com</t>
  </si>
  <si>
    <t>Henrique Lopes</t>
  </si>
  <si>
    <t>hcorreia@hotmail.com</t>
  </si>
  <si>
    <t>Emilly</t>
  </si>
  <si>
    <t>Pedro Henrique Peixoto</t>
  </si>
  <si>
    <t>rebeca01@silva.org</t>
  </si>
  <si>
    <t>Srta. Maria Eduarda Peixoto</t>
  </si>
  <si>
    <t>joaoda-paz@hotmail.com</t>
  </si>
  <si>
    <t>Bruna da Mata</t>
  </si>
  <si>
    <t>ocardoso@silveira.com</t>
  </si>
  <si>
    <t>Enzo Souza</t>
  </si>
  <si>
    <t>ninasales@uol.com.br</t>
  </si>
  <si>
    <t>Paulo Lima</t>
  </si>
  <si>
    <t>smoreira@gmail.com</t>
  </si>
  <si>
    <t>almeidajoao-miguel@araujo.com</t>
  </si>
  <si>
    <t>Srta. Ana Carolina Correia</t>
  </si>
  <si>
    <t>guilherme09@melo.net</t>
  </si>
  <si>
    <t>Isabella</t>
  </si>
  <si>
    <t>Dr. Guilherme Correia</t>
  </si>
  <si>
    <t>almeidavicente@silva.org</t>
  </si>
  <si>
    <t>Sra. Raquel Santos</t>
  </si>
  <si>
    <t>ana-lauracunha@yahoo.com.br</t>
  </si>
  <si>
    <t>Clara Castro</t>
  </si>
  <si>
    <t>rodrigueslevi@cunha.com</t>
  </si>
  <si>
    <t>Stella da Conceição</t>
  </si>
  <si>
    <t>costelaenzo-gabriel@mendes.com</t>
  </si>
  <si>
    <t>Sra. Brenda Porto</t>
  </si>
  <si>
    <t>iancarvalho@moreira.com</t>
  </si>
  <si>
    <t>Yasmin Nunes</t>
  </si>
  <si>
    <t>xalmeida@caldeira.net</t>
  </si>
  <si>
    <t>Dra. Maria Cecília Nascimento</t>
  </si>
  <si>
    <t>mnovaes@ig.com.br</t>
  </si>
  <si>
    <t>Benício Correia</t>
  </si>
  <si>
    <t>da-costathomas@pinto.br</t>
  </si>
  <si>
    <t>Perfil com forte aderência e processo acelerado.</t>
  </si>
  <si>
    <t>Rótulos de Linha</t>
  </si>
  <si>
    <t>Total Geral</t>
  </si>
  <si>
    <t>Contagem de candidate_id</t>
  </si>
  <si>
    <t>Response</t>
  </si>
  <si>
    <t>Screening Pass</t>
  </si>
  <si>
    <t>Interview Pass</t>
  </si>
  <si>
    <t>Test Taken</t>
  </si>
  <si>
    <t>Overall</t>
  </si>
  <si>
    <t>Stage</t>
  </si>
  <si>
    <t>Candidates</t>
  </si>
  <si>
    <t>Conversion</t>
  </si>
  <si>
    <t>Channel</t>
  </si>
  <si>
    <t>Rótulos de Coluna</t>
  </si>
  <si>
    <t>FALSO</t>
  </si>
  <si>
    <t>VERDADEIRO</t>
  </si>
  <si>
    <t>Hired NO</t>
  </si>
  <si>
    <t>Hired YES</t>
  </si>
  <si>
    <t>Channel representative</t>
  </si>
  <si>
    <t>Channel hire conversation</t>
  </si>
  <si>
    <t>Hired YES Conversation</t>
  </si>
  <si>
    <t>Response time</t>
  </si>
  <si>
    <t>Hire Rate</t>
  </si>
  <si>
    <t>0–1 day</t>
  </si>
  <si>
    <t>2–3 days</t>
  </si>
  <si>
    <t>4–5 days</t>
  </si>
  <si>
    <t>6–7 days</t>
  </si>
  <si>
    <t>8–10 days</t>
  </si>
  <si>
    <t>11+ days</t>
  </si>
  <si>
    <t>Signal</t>
  </si>
  <si>
    <t>Not Hired</t>
  </si>
  <si>
    <t>Technical Score</t>
  </si>
  <si>
    <t>Behavior Score</t>
  </si>
  <si>
    <t>Manager Score</t>
  </si>
  <si>
    <t>Years Experience</t>
  </si>
  <si>
    <t>(vazio)</t>
  </si>
  <si>
    <t>Reject Reason</t>
  </si>
  <si>
    <t>Sourcing Analysis with AI</t>
  </si>
  <si>
    <t>Executive Summary</t>
  </si>
  <si>
    <t>Total candidates</t>
  </si>
  <si>
    <t>Overall hiring rate</t>
  </si>
  <si>
    <t>Across 4 roles</t>
  </si>
  <si>
    <t>49 hires</t>
  </si>
  <si>
    <t>Largest Bottleneck</t>
  </si>
  <si>
    <t>Teste taken &gt; offer</t>
  </si>
  <si>
    <t>Best Source</t>
  </si>
  <si>
    <t>11% hiring rate</t>
  </si>
  <si>
    <t>Top Recruiter Rate</t>
  </si>
  <si>
    <t>210 candidates</t>
  </si>
  <si>
    <t>Key Insights</t>
  </si>
  <si>
    <t>Analysis</t>
  </si>
  <si>
    <t>Funnel</t>
  </si>
  <si>
    <t>Only 31% of candidates who take the technical test receive an offer. This is the largest drop in the overall funnel and should trigger a review of assessment calibration, pre-test qualification, and final decision criteria.</t>
  </si>
  <si>
    <t>Key Insight</t>
  </si>
  <si>
    <t>Funnel by role</t>
  </si>
  <si>
    <t>Source Channels</t>
  </si>
  <si>
    <t>No hired</t>
  </si>
  <si>
    <t>Total</t>
  </si>
  <si>
    <t>Channel Representative</t>
  </si>
  <si>
    <t>Hire conversation</t>
  </si>
  <si>
    <t>GitHub and Inbound show the highest hire conversion rates in the dataset, suggesting that recruiters may benefit from prioritizing these channels when building pipelines. However, volume and role mix should be considered before reallocating effort.</t>
  </si>
  <si>
    <t>Recruiter Performance</t>
  </si>
  <si>
    <t>Candidates Signals</t>
  </si>
  <si>
    <t>Rejections</t>
  </si>
  <si>
    <t>%</t>
  </si>
  <si>
    <t>Role-Level Interpretation</t>
  </si>
  <si>
    <t>The Test → Offer stage is the main bottleneck for every role. Data Analyst has the lowest conversion at this point (23.8%), while Recruitment Analyst has the highest (38.8%). Talent Acquisition Specialist and People BP also show lower response rates at the top of the funnel, suggesting an additional opportunity to review candidate approach and role positioning.</t>
  </si>
  <si>
    <t>Investigate: Referral and Event sourcing show the lowest overall conversion. Referral should remain part of the strategy because it is often passive and low-effort. Event sourcing deserves a cost-benefit review, especially if it requires significant budget and operational effort.</t>
  </si>
  <si>
    <t>Interpretation with caution: Gustavo managed the largest pipeline but achieved one of the lowest hire conversion rates. This should not be interpreted as individual underperformance without understanding role complexity, seniority, sourcing channels, and requisition difficulty.</t>
  </si>
  <si>
    <t>Learning opportunity: Bruno and Ana handled smaller pipelines while achieving the highest conversion rates. Their sourcing and qualification practices could be reviewed and shared with the team, while controlling for portfolio differences.</t>
  </si>
  <si>
    <t>When to persist: Candidates with the highest hire rates were not necessarily those who responded fastest. Response time alone should not be used as a stop signal. Recruiters should continue follow-up when other indicators suggest potential.</t>
  </si>
  <si>
    <t>Hiring pattern: Hired candidates tend to have more experience and higher assessment scores. On average, they have 6.5 years of experience and scores above 80 in technical, behavioral, and manager evaluations. These are associated patterns, not proof of causality.</t>
  </si>
  <si>
    <t>Candidate engagement: No response is the most frequently documented rejection reason. This creates an opportunity to review outreach quality, follow-up cadence, value proposition, and candidate nurturing throughout the process.</t>
  </si>
  <si>
    <t>Data governance: 177 non-hired candidates have no rejection reason recorded. This limits the reliability of loss analysis and reduces the team's ability to identify recurring process issues.</t>
  </si>
  <si>
    <t>Recommendation: Standardize rejection reason completion in the ATS, clarify definitions, and monitor missing data as an operational KPI. Better data quality will enable more accurate diagnosis and safer use of AI in recruiting decisions.</t>
  </si>
  <si>
    <t>Recomendations</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</si>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</sst>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2"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
      <sz val="10"/>
      <color rgb="FFFF0000"/>
      <name val="Arial"/>
      <family val="2"/>
      <scheme val="minor"/>
    </font>
    <font>
      <sz val="10"/>
      <color rgb="FF000000"/>
      <name val="Arial"/>
      <family val="2"/>
      <scheme val="minor"/>
    </font>
    <font>
      <sz val="12"/>
      <color rgb="FF000000"/>
      <name val="Arial"/>
      <family val="2"/>
      <scheme val="minor"/>
    </font>
    <font>
      <sz val="16"/>
      <color rgb="FF000000"/>
      <name val="Arial"/>
      <family val="2"/>
      <scheme val="minor"/>
    </font>
    <font>
      <b/>
      <sz val="14"/>
      <color rgb="FF000000"/>
      <name val="Arial"/>
      <family val="2"/>
      <scheme val="minor"/>
    </font>
    <font>
      <b/>
      <sz val="16"/>
      <color rgb="FF000000"/>
      <name val="Arial"/>
      <family val="2"/>
      <scheme val="minor"/>
    </font>
    <font>
      <b/>
      <sz val="18"/>
      <color rgb="FF000000"/>
      <name val="Arial"/>
      <family val="2"/>
      <scheme val="minor"/>
    </font>
    <font>
      <sz val="8"/>
      <name val="Arial"/>
      <scheme val="minor"/>
    </font>
  </fonts>
  <fills count="10">
    <fill>
      <patternFill patternType="none"/>
    </fill>
    <fill>
      <patternFill patternType="gray125"/>
    </fill>
    <fill>
      <patternFill patternType="solid">
        <fgColor theme="2" tint="-4.9989318521683403E-2"/>
        <bgColor indexed="64"/>
      </patternFill>
    </fill>
    <fill>
      <patternFill patternType="solid">
        <fgColor rgb="FF00B050"/>
        <bgColor indexed="64"/>
      </patternFill>
    </fill>
    <fill>
      <patternFill patternType="solid">
        <fgColor rgb="FFFF0000"/>
        <bgColor indexed="64"/>
      </patternFill>
    </fill>
    <fill>
      <patternFill patternType="solid">
        <fgColor theme="2" tint="-0.14999847407452621"/>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124">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vertical="center"/>
    </xf>
    <xf numFmtId="165" fontId="3" fillId="4" borderId="0" xfId="1" applyNumberFormat="1" applyFont="1" applyFill="1"/>
    <xf numFmtId="165" fontId="0" fillId="0" borderId="0" xfId="1" applyNumberFormat="1" applyFont="1"/>
    <xf numFmtId="165" fontId="3" fillId="3" borderId="0" xfId="1" applyNumberFormat="1" applyFont="1" applyFill="1"/>
    <xf numFmtId="0" fontId="0" fillId="0" borderId="0" xfId="0" applyAlignment="1">
      <alignment horizontal="left" indent="1"/>
    </xf>
    <xf numFmtId="0" fontId="3" fillId="2" borderId="0" xfId="0" applyFont="1" applyFill="1" applyAlignment="1">
      <alignment horizontal="center" vertical="center"/>
    </xf>
    <xf numFmtId="0" fontId="0" fillId="2" borderId="0" xfId="0" applyFill="1"/>
    <xf numFmtId="0" fontId="7" fillId="2" borderId="0" xfId="0" applyFont="1" applyFill="1" applyAlignment="1">
      <alignment vertical="center"/>
    </xf>
    <xf numFmtId="0" fontId="3" fillId="2" borderId="0" xfId="0" applyFont="1" applyFill="1" applyAlignment="1">
      <alignment horizontal="center"/>
    </xf>
    <xf numFmtId="9" fontId="0" fillId="2" borderId="0" xfId="1" applyFont="1" applyFill="1"/>
    <xf numFmtId="0" fontId="0" fillId="7" borderId="0" xfId="0" applyFill="1"/>
    <xf numFmtId="0" fontId="3" fillId="7" borderId="0" xfId="0" applyFont="1" applyFill="1" applyAlignment="1">
      <alignment horizontal="center"/>
    </xf>
    <xf numFmtId="9" fontId="0" fillId="7" borderId="0" xfId="1" applyFont="1" applyFill="1"/>
    <xf numFmtId="9" fontId="4" fillId="7" borderId="0" xfId="1" applyFont="1" applyFill="1"/>
    <xf numFmtId="0" fontId="0" fillId="7" borderId="0" xfId="0" applyFill="1" applyAlignment="1">
      <alignment vertical="top" wrapText="1"/>
    </xf>
    <xf numFmtId="0" fontId="3" fillId="2" borderId="0" xfId="0" applyFont="1" applyFill="1" applyAlignment="1">
      <alignment vertical="center"/>
    </xf>
    <xf numFmtId="0" fontId="3" fillId="0" borderId="0" xfId="0" applyFont="1" applyAlignment="1">
      <alignment vertical="center"/>
    </xf>
    <xf numFmtId="0" fontId="0" fillId="2" borderId="0" xfId="1" applyNumberFormat="1" applyFont="1" applyFill="1"/>
    <xf numFmtId="165" fontId="3" fillId="2" borderId="0" xfId="1" applyNumberFormat="1" applyFont="1" applyFill="1"/>
    <xf numFmtId="0" fontId="3" fillId="2" borderId="0" xfId="1" applyNumberFormat="1" applyFont="1" applyFill="1" applyAlignment="1">
      <alignment horizontal="center"/>
    </xf>
    <xf numFmtId="9" fontId="3" fillId="2" borderId="0" xfId="1" applyFont="1" applyFill="1" applyAlignment="1">
      <alignment horizontal="center"/>
    </xf>
    <xf numFmtId="165" fontId="3" fillId="2" borderId="0" xfId="1" applyNumberFormat="1" applyFont="1" applyFill="1" applyAlignment="1">
      <alignment horizontal="center"/>
    </xf>
    <xf numFmtId="165" fontId="0" fillId="2" borderId="0" xfId="1" applyNumberFormat="1" applyFont="1" applyFill="1"/>
    <xf numFmtId="9" fontId="5" fillId="2" borderId="0" xfId="1" applyFont="1" applyFill="1"/>
    <xf numFmtId="0" fontId="5" fillId="2" borderId="0" xfId="0" applyFont="1" applyFill="1" applyAlignment="1">
      <alignment vertical="top" wrapText="1"/>
    </xf>
    <xf numFmtId="10" fontId="0" fillId="2" borderId="0" xfId="0" applyNumberFormat="1" applyFill="1"/>
    <xf numFmtId="0" fontId="3" fillId="7" borderId="0" xfId="0" applyFont="1" applyFill="1" applyAlignment="1">
      <alignment horizontal="center" vertical="center"/>
    </xf>
    <xf numFmtId="0" fontId="5" fillId="2" borderId="0" xfId="0" applyFont="1" applyFill="1"/>
    <xf numFmtId="0" fontId="8" fillId="2" borderId="0" xfId="0" applyFont="1" applyFill="1" applyAlignment="1">
      <alignment horizontal="center" vertical="center"/>
    </xf>
    <xf numFmtId="0" fontId="0" fillId="7" borderId="0" xfId="0" applyFill="1" applyAlignment="1">
      <alignment horizontal="center" vertical="top" wrapText="1"/>
    </xf>
    <xf numFmtId="165" fontId="3" fillId="8" borderId="0" xfId="1" applyNumberFormat="1" applyFont="1" applyFill="1"/>
    <xf numFmtId="165" fontId="0" fillId="9" borderId="0" xfId="1" applyNumberFormat="1" applyFont="1" applyFill="1"/>
    <xf numFmtId="0" fontId="7" fillId="5" borderId="0" xfId="0" applyFont="1" applyFill="1" applyAlignment="1">
      <alignment horizontal="center" vertical="center"/>
    </xf>
    <xf numFmtId="0" fontId="6" fillId="5" borderId="0" xfId="0" applyFont="1" applyFill="1" applyAlignment="1">
      <alignment horizontal="center" vertical="center"/>
    </xf>
    <xf numFmtId="0" fontId="5" fillId="2" borderId="7" xfId="0" applyFont="1" applyFill="1" applyBorder="1" applyAlignment="1">
      <alignment horizontal="center"/>
    </xf>
    <xf numFmtId="0" fontId="5" fillId="2" borderId="0" xfId="0" applyFont="1" applyFill="1" applyAlignment="1">
      <alignment horizont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9" fontId="10" fillId="2" borderId="1" xfId="1" applyFont="1" applyFill="1" applyBorder="1" applyAlignment="1">
      <alignment horizontal="center" vertical="center"/>
    </xf>
    <xf numFmtId="9" fontId="10" fillId="2" borderId="2" xfId="1" applyFont="1" applyFill="1" applyBorder="1" applyAlignment="1">
      <alignment horizontal="center" vertical="center"/>
    </xf>
    <xf numFmtId="9" fontId="10" fillId="2" borderId="3" xfId="1" applyFont="1" applyFill="1" applyBorder="1" applyAlignment="1">
      <alignment horizontal="center" vertical="center"/>
    </xf>
    <xf numFmtId="9" fontId="10" fillId="2" borderId="4" xfId="1" applyFont="1" applyFill="1" applyBorder="1" applyAlignment="1">
      <alignment horizontal="center" vertical="center"/>
    </xf>
    <xf numFmtId="9" fontId="10" fillId="2" borderId="5" xfId="1" applyFont="1" applyFill="1" applyBorder="1" applyAlignment="1">
      <alignment horizontal="center" vertical="center"/>
    </xf>
    <xf numFmtId="9" fontId="10" fillId="2" borderId="6" xfId="1"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9" fillId="5" borderId="0" xfId="0" applyFont="1" applyFill="1" applyAlignment="1">
      <alignment horizontal="center" vertical="center"/>
    </xf>
    <xf numFmtId="165" fontId="10" fillId="2" borderId="1" xfId="1" applyNumberFormat="1" applyFont="1" applyFill="1" applyBorder="1" applyAlignment="1">
      <alignment horizontal="center" vertical="center"/>
    </xf>
    <xf numFmtId="165" fontId="10" fillId="2" borderId="2" xfId="1" applyNumberFormat="1" applyFont="1" applyFill="1" applyBorder="1" applyAlignment="1">
      <alignment horizontal="center" vertical="center"/>
    </xf>
    <xf numFmtId="165" fontId="10" fillId="2" borderId="3" xfId="1" applyNumberFormat="1" applyFont="1" applyFill="1" applyBorder="1" applyAlignment="1">
      <alignment horizontal="center" vertical="center"/>
    </xf>
    <xf numFmtId="165" fontId="10" fillId="2" borderId="4" xfId="1" applyNumberFormat="1" applyFont="1" applyFill="1" applyBorder="1" applyAlignment="1">
      <alignment horizontal="center" vertical="center"/>
    </xf>
    <xf numFmtId="165" fontId="10" fillId="2" borderId="5" xfId="1" applyNumberFormat="1" applyFont="1" applyFill="1" applyBorder="1" applyAlignment="1">
      <alignment horizontal="center" vertical="center"/>
    </xf>
    <xf numFmtId="165" fontId="10" fillId="2" borderId="6" xfId="1" applyNumberFormat="1" applyFont="1" applyFill="1" applyBorder="1" applyAlignment="1">
      <alignment horizontal="center" vertical="center"/>
    </xf>
    <xf numFmtId="0" fontId="3" fillId="2" borderId="8" xfId="0" applyFont="1" applyFill="1" applyBorder="1" applyAlignment="1">
      <alignment horizontal="center"/>
    </xf>
    <xf numFmtId="0" fontId="2" fillId="2" borderId="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5" fillId="2" borderId="7"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8"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7" borderId="0" xfId="0" applyFont="1" applyFill="1" applyAlignment="1">
      <alignment horizontal="center"/>
    </xf>
    <xf numFmtId="0" fontId="8" fillId="6" borderId="0" xfId="0" applyFont="1" applyFill="1" applyAlignment="1">
      <alignment horizontal="center" vertical="center"/>
    </xf>
    <xf numFmtId="0" fontId="0" fillId="7" borderId="1" xfId="0" applyFill="1" applyBorder="1" applyAlignment="1">
      <alignment horizontal="center" vertical="top" wrapText="1"/>
    </xf>
    <xf numFmtId="0" fontId="0" fillId="7" borderId="7" xfId="0" applyFill="1" applyBorder="1" applyAlignment="1">
      <alignment horizontal="center" vertical="top" wrapText="1"/>
    </xf>
    <xf numFmtId="0" fontId="0" fillId="7" borderId="2" xfId="0" applyFill="1" applyBorder="1" applyAlignment="1">
      <alignment horizontal="center" vertical="top" wrapText="1"/>
    </xf>
    <xf numFmtId="0" fontId="0" fillId="7" borderId="5" xfId="0" applyFill="1" applyBorder="1" applyAlignment="1">
      <alignment horizontal="center" vertical="top" wrapText="1"/>
    </xf>
    <xf numFmtId="0" fontId="0" fillId="7" borderId="8" xfId="0" applyFill="1" applyBorder="1" applyAlignment="1">
      <alignment horizontal="center" vertical="top" wrapText="1"/>
    </xf>
    <xf numFmtId="0" fontId="0" fillId="7" borderId="6" xfId="0" applyFill="1" applyBorder="1" applyAlignment="1">
      <alignment horizontal="center" vertical="top" wrapText="1"/>
    </xf>
    <xf numFmtId="0" fontId="3" fillId="7" borderId="8" xfId="0" applyFont="1" applyFill="1" applyBorder="1" applyAlignment="1">
      <alignment horizontal="center"/>
    </xf>
    <xf numFmtId="0" fontId="3" fillId="2" borderId="0" xfId="0" applyFont="1" applyFill="1" applyAlignment="1">
      <alignment horizontal="center"/>
    </xf>
    <xf numFmtId="0" fontId="2" fillId="2" borderId="1" xfId="0" applyFont="1" applyFill="1" applyBorder="1" applyAlignment="1">
      <alignment horizontal="center" wrapText="1"/>
    </xf>
    <xf numFmtId="0" fontId="0" fillId="2" borderId="7" xfId="0" applyFill="1" applyBorder="1" applyAlignment="1">
      <alignment horizontal="center" wrapText="1"/>
    </xf>
    <xf numFmtId="0" fontId="0" fillId="2" borderId="2" xfId="0" applyFill="1" applyBorder="1" applyAlignment="1">
      <alignment horizontal="center" wrapText="1"/>
    </xf>
    <xf numFmtId="0" fontId="0" fillId="2" borderId="5" xfId="0" applyFill="1" applyBorder="1" applyAlignment="1">
      <alignment horizontal="center" wrapText="1"/>
    </xf>
    <xf numFmtId="0" fontId="0" fillId="2" borderId="8" xfId="0" applyFill="1" applyBorder="1"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2" fillId="7" borderId="1" xfId="0" applyFont="1" applyFill="1" applyBorder="1" applyAlignment="1">
      <alignment horizontal="center" vertical="top" wrapText="1"/>
    </xf>
    <xf numFmtId="0" fontId="2"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0" fillId="2" borderId="0" xfId="0" applyFill="1" applyAlignment="1">
      <alignment horizontal="left" vertical="top" wrapText="1"/>
    </xf>
    <xf numFmtId="0" fontId="0" fillId="2" borderId="7" xfId="0" applyFill="1" applyBorder="1" applyAlignment="1">
      <alignment horizontal="center" vertical="top" wrapText="1"/>
    </xf>
    <xf numFmtId="0" fontId="0" fillId="2" borderId="2" xfId="0" applyFill="1" applyBorder="1" applyAlignment="1">
      <alignment horizontal="center" vertical="top" wrapText="1"/>
    </xf>
    <xf numFmtId="0" fontId="0" fillId="2" borderId="5" xfId="0" applyFill="1" applyBorder="1" applyAlignment="1">
      <alignment horizontal="center" vertical="top" wrapText="1"/>
    </xf>
    <xf numFmtId="0" fontId="0" fillId="2" borderId="8" xfId="0" applyFill="1" applyBorder="1" applyAlignment="1">
      <alignment horizontal="center" vertical="top" wrapText="1"/>
    </xf>
    <xf numFmtId="0" fontId="0" fillId="2" borderId="6" xfId="0" applyFill="1" applyBorder="1" applyAlignment="1">
      <alignment horizontal="center" vertical="top"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4" xfId="0" applyFill="1" applyBorder="1" applyAlignment="1">
      <alignment horizontal="center" vertical="center" wrapText="1"/>
    </xf>
    <xf numFmtId="0" fontId="5" fillId="2"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8" fillId="5" borderId="0" xfId="0" applyFont="1" applyFill="1" applyAlignment="1">
      <alignment horizontal="center" vertical="center"/>
    </xf>
    <xf numFmtId="0" fontId="9" fillId="5" borderId="0" xfId="0" applyFont="1" applyFill="1" applyAlignment="1">
      <alignment horizontal="left" vertical="center"/>
    </xf>
  </cellXfs>
  <cellStyles count="2">
    <cellStyle name="Normal" xfId="0" builtinId="0"/>
    <cellStyle name="Porcentagem" xfId="1" builtinId="5"/>
  </cellStyles>
  <dxfs count="33">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Analysis!$B$10</c:f>
              <c:strCache>
                <c:ptCount val="1"/>
                <c:pt idx="0">
                  <c:v>Candidates</c:v>
                </c:pt>
              </c:strCache>
            </c:strRef>
          </c:tx>
          <c:spPr>
            <a:solidFill>
              <a:schemeClr val="accent1"/>
            </a:solidFill>
            <a:ln>
              <a:noFill/>
            </a:ln>
            <a:effectLst/>
          </c:spPr>
          <c:invertIfNegative val="0"/>
          <c:dLbls>
            <c:delete val="1"/>
          </c:dLbls>
          <c:cat>
            <c:strRef>
              <c:f>Analysis!$A$11:$A$17</c:f>
              <c:strCache>
                <c:ptCount val="7"/>
                <c:pt idx="0">
                  <c:v>Sourced</c:v>
                </c:pt>
                <c:pt idx="1">
                  <c:v>Response</c:v>
                </c:pt>
                <c:pt idx="2">
                  <c:v>Screening Pass</c:v>
                </c:pt>
                <c:pt idx="3">
                  <c:v>Interview Pass</c:v>
                </c:pt>
                <c:pt idx="4">
                  <c:v>Test Taken</c:v>
                </c:pt>
                <c:pt idx="5">
                  <c:v>Offer</c:v>
                </c:pt>
                <c:pt idx="6">
                  <c:v>Hired</c:v>
                </c:pt>
              </c:strCache>
            </c:strRef>
          </c:cat>
          <c:val>
            <c:numRef>
              <c:f>Analysis!$B$11:$B$17</c:f>
              <c:numCache>
                <c:formatCode>General</c:formatCode>
                <c:ptCount val="7"/>
                <c:pt idx="0">
                  <c:v>601</c:v>
                </c:pt>
                <c:pt idx="1">
                  <c:v>408</c:v>
                </c:pt>
                <c:pt idx="2">
                  <c:v>308</c:v>
                </c:pt>
                <c:pt idx="3">
                  <c:v>234</c:v>
                </c:pt>
                <c:pt idx="4">
                  <c:v>201</c:v>
                </c:pt>
                <c:pt idx="5">
                  <c:v>62</c:v>
                </c:pt>
                <c:pt idx="6">
                  <c:v>49</c:v>
                </c:pt>
              </c:numCache>
            </c:numRef>
          </c:val>
          <c:extLst>
            <c:ext xmlns:c16="http://schemas.microsoft.com/office/drawing/2014/chart" uri="{C3380CC4-5D6E-409C-BE32-E72D297353CC}">
              <c16:uniqueId val="{00000000-A00D-43AB-BD4C-8AFFD6397525}"/>
            </c:ext>
          </c:extLst>
        </c:ser>
        <c:dLbls>
          <c:dLblPos val="inEnd"/>
          <c:showLegendKey val="0"/>
          <c:showVal val="1"/>
          <c:showCatName val="0"/>
          <c:showSerName val="0"/>
          <c:showPercent val="0"/>
          <c:showBubbleSize val="0"/>
        </c:dLbls>
        <c:gapWidth val="219"/>
        <c:overlap val="-27"/>
        <c:axId val="1258580816"/>
        <c:axId val="1258569296"/>
      </c:barChart>
      <c:lineChart>
        <c:grouping val="standard"/>
        <c:varyColors val="0"/>
        <c:ser>
          <c:idx val="1"/>
          <c:order val="1"/>
          <c:tx>
            <c:strRef>
              <c:f>Analysis!$C$10</c:f>
              <c:strCache>
                <c:ptCount val="1"/>
                <c:pt idx="0">
                  <c:v>Conversion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Analysis!$A$11:$A$17</c:f>
              <c:strCache>
                <c:ptCount val="7"/>
                <c:pt idx="0">
                  <c:v>Sourced</c:v>
                </c:pt>
                <c:pt idx="1">
                  <c:v>Response</c:v>
                </c:pt>
                <c:pt idx="2">
                  <c:v>Screening Pass</c:v>
                </c:pt>
                <c:pt idx="3">
                  <c:v>Interview Pass</c:v>
                </c:pt>
                <c:pt idx="4">
                  <c:v>Test Taken</c:v>
                </c:pt>
                <c:pt idx="5">
                  <c:v>Offer</c:v>
                </c:pt>
                <c:pt idx="6">
                  <c:v>Hired</c:v>
                </c:pt>
              </c:strCache>
            </c:strRef>
          </c:cat>
          <c:val>
            <c:numRef>
              <c:f>Analysis!$C$11:$C$17</c:f>
              <c:numCache>
                <c:formatCode>0%</c:formatCode>
                <c:ptCount val="7"/>
                <c:pt idx="1">
                  <c:v>0.67886855241264554</c:v>
                </c:pt>
                <c:pt idx="2">
                  <c:v>0.75490196078431371</c:v>
                </c:pt>
                <c:pt idx="3">
                  <c:v>0.75974025974025972</c:v>
                </c:pt>
                <c:pt idx="4">
                  <c:v>0.85897435897435892</c:v>
                </c:pt>
                <c:pt idx="5">
                  <c:v>0.30845771144278605</c:v>
                </c:pt>
                <c:pt idx="6">
                  <c:v>0.79032258064516125</c:v>
                </c:pt>
              </c:numCache>
            </c:numRef>
          </c:val>
          <c:smooth val="0"/>
          <c:extLst>
            <c:ext xmlns:c16="http://schemas.microsoft.com/office/drawing/2014/chart" uri="{C3380CC4-5D6E-409C-BE32-E72D297353CC}">
              <c16:uniqueId val="{00000001-A00D-43AB-BD4C-8AFFD6397525}"/>
            </c:ext>
          </c:extLst>
        </c:ser>
        <c:dLbls>
          <c:showLegendKey val="0"/>
          <c:showVal val="1"/>
          <c:showCatName val="0"/>
          <c:showSerName val="0"/>
          <c:showPercent val="0"/>
          <c:showBubbleSize val="0"/>
        </c:dLbls>
        <c:marker val="1"/>
        <c:smooth val="0"/>
        <c:axId val="1258565936"/>
        <c:axId val="1258568336"/>
      </c:lineChart>
      <c:catAx>
        <c:axId val="1258580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69296"/>
        <c:crosses val="autoZero"/>
        <c:auto val="1"/>
        <c:lblAlgn val="ctr"/>
        <c:lblOffset val="100"/>
        <c:noMultiLvlLbl val="0"/>
      </c:catAx>
      <c:valAx>
        <c:axId val="12585692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80816"/>
        <c:crosses val="autoZero"/>
        <c:crossBetween val="between"/>
      </c:valAx>
      <c:valAx>
        <c:axId val="12585683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65936"/>
        <c:crosses val="max"/>
        <c:crossBetween val="between"/>
      </c:valAx>
      <c:catAx>
        <c:axId val="1258565936"/>
        <c:scaling>
          <c:orientation val="minMax"/>
        </c:scaling>
        <c:delete val="1"/>
        <c:axPos val="b"/>
        <c:numFmt formatCode="General" sourceLinked="1"/>
        <c:majorTickMark val="none"/>
        <c:minorTickMark val="none"/>
        <c:tickLblPos val="nextTo"/>
        <c:crossAx val="12585683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Signals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Analysis!$B$103</c:f>
              <c:strCache>
                <c:ptCount val="1"/>
                <c:pt idx="0">
                  <c:v>Not Hired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Analysis!$A$104:$A$107</c:f>
              <c:strCache>
                <c:ptCount val="4"/>
                <c:pt idx="0">
                  <c:v>Years Experience</c:v>
                </c:pt>
                <c:pt idx="1">
                  <c:v>Behavior Score</c:v>
                </c:pt>
                <c:pt idx="2">
                  <c:v>Manager Score</c:v>
                </c:pt>
                <c:pt idx="3">
                  <c:v>Technical Score</c:v>
                </c:pt>
              </c:strCache>
            </c:strRef>
          </c:cat>
          <c:val>
            <c:numRef>
              <c:f>Analysis!$B$104:$B$107</c:f>
              <c:numCache>
                <c:formatCode>General</c:formatCode>
                <c:ptCount val="4"/>
                <c:pt idx="0">
                  <c:v>5.5</c:v>
                </c:pt>
                <c:pt idx="1">
                  <c:v>74</c:v>
                </c:pt>
                <c:pt idx="2">
                  <c:v>73.099999999999994</c:v>
                </c:pt>
                <c:pt idx="3">
                  <c:v>72.900000000000006</c:v>
                </c:pt>
              </c:numCache>
            </c:numRef>
          </c:val>
          <c:extLst>
            <c:ext xmlns:c16="http://schemas.microsoft.com/office/drawing/2014/chart" uri="{C3380CC4-5D6E-409C-BE32-E72D297353CC}">
              <c16:uniqueId val="{00000000-120F-4301-BE6A-677E92D565BC}"/>
            </c:ext>
          </c:extLst>
        </c:ser>
        <c:ser>
          <c:idx val="1"/>
          <c:order val="1"/>
          <c:tx>
            <c:strRef>
              <c:f>Analysis!$C$103</c:f>
              <c:strCache>
                <c:ptCount val="1"/>
                <c:pt idx="0">
                  <c:v>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Analysis!$A$104:$A$107</c:f>
              <c:strCache>
                <c:ptCount val="4"/>
                <c:pt idx="0">
                  <c:v>Years Experience</c:v>
                </c:pt>
                <c:pt idx="1">
                  <c:v>Behavior Score</c:v>
                </c:pt>
                <c:pt idx="2">
                  <c:v>Manager Score</c:v>
                </c:pt>
                <c:pt idx="3">
                  <c:v>Technical Score</c:v>
                </c:pt>
              </c:strCache>
            </c:strRef>
          </c:cat>
          <c:val>
            <c:numRef>
              <c:f>Analysis!$C$104:$C$107</c:f>
              <c:numCache>
                <c:formatCode>General</c:formatCode>
                <c:ptCount val="4"/>
                <c:pt idx="0">
                  <c:v>6.5</c:v>
                </c:pt>
                <c:pt idx="1">
                  <c:v>80.099999999999994</c:v>
                </c:pt>
                <c:pt idx="2">
                  <c:v>80.900000000000006</c:v>
                </c:pt>
                <c:pt idx="3">
                  <c:v>82.4</c:v>
                </c:pt>
              </c:numCache>
            </c:numRef>
          </c:val>
          <c:extLst>
            <c:ext xmlns:c16="http://schemas.microsoft.com/office/drawing/2014/chart" uri="{C3380CC4-5D6E-409C-BE32-E72D297353CC}">
              <c16:uniqueId val="{00000001-120F-4301-BE6A-677E92D565BC}"/>
            </c:ext>
          </c:extLst>
        </c:ser>
        <c:dLbls>
          <c:dLblPos val="outEnd"/>
          <c:showLegendKey val="0"/>
          <c:showVal val="1"/>
          <c:showCatName val="0"/>
          <c:showSerName val="0"/>
          <c:showPercent val="0"/>
          <c:showBubbleSize val="0"/>
        </c:dLbls>
        <c:gapWidth val="219"/>
        <c:overlap val="-27"/>
        <c:axId val="1258568816"/>
        <c:axId val="1258569776"/>
      </c:barChart>
      <c:catAx>
        <c:axId val="12585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69776"/>
        <c:crosses val="autoZero"/>
        <c:auto val="1"/>
        <c:lblAlgn val="ctr"/>
        <c:lblOffset val="100"/>
        <c:noMultiLvlLbl val="0"/>
      </c:catAx>
      <c:valAx>
        <c:axId val="1258569776"/>
        <c:scaling>
          <c:orientation val="minMax"/>
        </c:scaling>
        <c:delete val="1"/>
        <c:axPos val="l"/>
        <c:numFmt formatCode="General" sourceLinked="1"/>
        <c:majorTickMark val="none"/>
        <c:minorTickMark val="none"/>
        <c:tickLblPos val="nextTo"/>
        <c:crossAx val="1258568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Executive Summary'!A1"/><Relationship Id="rId1" Type="http://schemas.openxmlformats.org/officeDocument/2006/relationships/image" Target="../media/image1.png"/><Relationship Id="rId5" Type="http://schemas.openxmlformats.org/officeDocument/2006/relationships/hyperlink" Target="#Recommendations!A1"/><Relationship Id="rId4" Type="http://schemas.openxmlformats.org/officeDocument/2006/relationships/hyperlink" Target="#rawdata!A1"/></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svg"/><Relationship Id="rId2" Type="http://schemas.openxmlformats.org/officeDocument/2006/relationships/hyperlink" Target="#Menu!A1"/><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enu!A1"/><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3.svg"/></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svg"/><Relationship Id="rId2" Type="http://schemas.openxmlformats.org/officeDocument/2006/relationships/hyperlink" Target="#Menu!A1"/><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enu!A1"/><Relationship Id="rId1" Type="http://schemas.openxmlformats.org/officeDocument/2006/relationships/image" Target="../media/image1.png"/><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7</xdr:col>
      <xdr:colOff>546100</xdr:colOff>
      <xdr:row>0</xdr:row>
      <xdr:rowOff>0</xdr:rowOff>
    </xdr:from>
    <xdr:to>
      <xdr:col>10</xdr:col>
      <xdr:colOff>0</xdr:colOff>
      <xdr:row>3</xdr:row>
      <xdr:rowOff>35844</xdr:rowOff>
    </xdr:to>
    <xdr:pic>
      <xdr:nvPicPr>
        <xdr:cNvPr id="3" name="Imagem 2">
          <a:extLst>
            <a:ext uri="{FF2B5EF4-FFF2-40B4-BE49-F238E27FC236}">
              <a16:creationId xmlns:a16="http://schemas.microsoft.com/office/drawing/2014/main" id="{8A310078-5376-FE49-F413-31E1D36469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3300" y="0"/>
          <a:ext cx="1282700" cy="512094"/>
        </a:xfrm>
        <a:prstGeom prst="rect">
          <a:avLst/>
        </a:prstGeom>
      </xdr:spPr>
    </xdr:pic>
    <xdr:clientData/>
  </xdr:twoCellAnchor>
  <xdr:twoCellAnchor>
    <xdr:from>
      <xdr:col>3</xdr:col>
      <xdr:colOff>323850</xdr:colOff>
      <xdr:row>4</xdr:row>
      <xdr:rowOff>146050</xdr:rowOff>
    </xdr:from>
    <xdr:to>
      <xdr:col>6</xdr:col>
      <xdr:colOff>25400</xdr:colOff>
      <xdr:row>8</xdr:row>
      <xdr:rowOff>50800</xdr:rowOff>
    </xdr:to>
    <xdr:sp macro="" textlink="">
      <xdr:nvSpPr>
        <xdr:cNvPr id="4" name="Retângulo 3">
          <a:hlinkClick xmlns:r="http://schemas.openxmlformats.org/officeDocument/2006/relationships" r:id="rId2"/>
          <a:extLst>
            <a:ext uri="{FF2B5EF4-FFF2-40B4-BE49-F238E27FC236}">
              <a16:creationId xmlns:a16="http://schemas.microsoft.com/office/drawing/2014/main" id="{840650B8-72E8-1B45-F11B-C35D1F125417}"/>
            </a:ext>
          </a:extLst>
        </xdr:cNvPr>
        <xdr:cNvSpPr/>
      </xdr:nvSpPr>
      <xdr:spPr>
        <a:xfrm>
          <a:off x="2152650" y="781050"/>
          <a:ext cx="1530350" cy="539750"/>
        </a:xfrm>
        <a:prstGeom prst="rect">
          <a:avLst/>
        </a:prstGeom>
        <a:solidFill>
          <a:schemeClr val="tx2">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Executive Summary</a:t>
          </a:r>
        </a:p>
      </xdr:txBody>
    </xdr:sp>
    <xdr:clientData/>
  </xdr:twoCellAnchor>
  <xdr:twoCellAnchor>
    <xdr:from>
      <xdr:col>3</xdr:col>
      <xdr:colOff>323850</xdr:colOff>
      <xdr:row>9</xdr:row>
      <xdr:rowOff>19050</xdr:rowOff>
    </xdr:from>
    <xdr:to>
      <xdr:col>6</xdr:col>
      <xdr:colOff>25400</xdr:colOff>
      <xdr:row>12</xdr:row>
      <xdr:rowOff>82550</xdr:rowOff>
    </xdr:to>
    <xdr:sp macro="" textlink="">
      <xdr:nvSpPr>
        <xdr:cNvPr id="5" name="Retângulo 4">
          <a:hlinkClick xmlns:r="http://schemas.openxmlformats.org/officeDocument/2006/relationships" r:id="rId3"/>
          <a:extLst>
            <a:ext uri="{FF2B5EF4-FFF2-40B4-BE49-F238E27FC236}">
              <a16:creationId xmlns:a16="http://schemas.microsoft.com/office/drawing/2014/main" id="{32FAE18D-1C91-4970-8F39-55E702935CDB}"/>
            </a:ext>
          </a:extLst>
        </xdr:cNvPr>
        <xdr:cNvSpPr/>
      </xdr:nvSpPr>
      <xdr:spPr>
        <a:xfrm>
          <a:off x="2152650" y="1447800"/>
          <a:ext cx="1530350" cy="539750"/>
        </a:xfrm>
        <a:prstGeom prst="rect">
          <a:avLst/>
        </a:prstGeom>
        <a:solidFill>
          <a:schemeClr val="tx2">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Analysis</a:t>
          </a:r>
        </a:p>
      </xdr:txBody>
    </xdr:sp>
    <xdr:clientData/>
  </xdr:twoCellAnchor>
  <xdr:twoCellAnchor>
    <xdr:from>
      <xdr:col>3</xdr:col>
      <xdr:colOff>323850</xdr:colOff>
      <xdr:row>17</xdr:row>
      <xdr:rowOff>107950</xdr:rowOff>
    </xdr:from>
    <xdr:to>
      <xdr:col>6</xdr:col>
      <xdr:colOff>25400</xdr:colOff>
      <xdr:row>21</xdr:row>
      <xdr:rowOff>12700</xdr:rowOff>
    </xdr:to>
    <xdr:sp macro="" textlink="">
      <xdr:nvSpPr>
        <xdr:cNvPr id="6" name="Retângulo 5">
          <a:hlinkClick xmlns:r="http://schemas.openxmlformats.org/officeDocument/2006/relationships" r:id="rId4"/>
          <a:extLst>
            <a:ext uri="{FF2B5EF4-FFF2-40B4-BE49-F238E27FC236}">
              <a16:creationId xmlns:a16="http://schemas.microsoft.com/office/drawing/2014/main" id="{D0BDC618-9A5F-49F9-BE8E-2FEA3A33DC40}"/>
            </a:ext>
          </a:extLst>
        </xdr:cNvPr>
        <xdr:cNvSpPr/>
      </xdr:nvSpPr>
      <xdr:spPr>
        <a:xfrm>
          <a:off x="2152650" y="2806700"/>
          <a:ext cx="1530350" cy="539750"/>
        </a:xfrm>
        <a:prstGeom prst="rect">
          <a:avLst/>
        </a:prstGeom>
        <a:solidFill>
          <a:schemeClr val="tx2">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Raw Data</a:t>
          </a:r>
        </a:p>
      </xdr:txBody>
    </xdr:sp>
    <xdr:clientData/>
  </xdr:twoCellAnchor>
  <xdr:twoCellAnchor>
    <xdr:from>
      <xdr:col>3</xdr:col>
      <xdr:colOff>323850</xdr:colOff>
      <xdr:row>13</xdr:row>
      <xdr:rowOff>63500</xdr:rowOff>
    </xdr:from>
    <xdr:to>
      <xdr:col>6</xdr:col>
      <xdr:colOff>25400</xdr:colOff>
      <xdr:row>16</xdr:row>
      <xdr:rowOff>127000</xdr:rowOff>
    </xdr:to>
    <xdr:sp macro="" textlink="">
      <xdr:nvSpPr>
        <xdr:cNvPr id="2" name="Retângulo 1">
          <a:hlinkClick xmlns:r="http://schemas.openxmlformats.org/officeDocument/2006/relationships" r:id="rId5"/>
          <a:extLst>
            <a:ext uri="{FF2B5EF4-FFF2-40B4-BE49-F238E27FC236}">
              <a16:creationId xmlns:a16="http://schemas.microsoft.com/office/drawing/2014/main" id="{D92E3080-F63A-437B-8FB8-5E272D7E7567}"/>
            </a:ext>
          </a:extLst>
        </xdr:cNvPr>
        <xdr:cNvSpPr/>
      </xdr:nvSpPr>
      <xdr:spPr>
        <a:xfrm>
          <a:off x="2152650" y="2127250"/>
          <a:ext cx="1530350" cy="539750"/>
        </a:xfrm>
        <a:prstGeom prst="rect">
          <a:avLst/>
        </a:prstGeom>
        <a:solidFill>
          <a:schemeClr val="tx2">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Recommendations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63500</xdr:colOff>
      <xdr:row>3</xdr:row>
      <xdr:rowOff>35844</xdr:rowOff>
    </xdr:to>
    <xdr:pic>
      <xdr:nvPicPr>
        <xdr:cNvPr id="2" name="Imagem 1">
          <a:extLst>
            <a:ext uri="{FF2B5EF4-FFF2-40B4-BE49-F238E27FC236}">
              <a16:creationId xmlns:a16="http://schemas.microsoft.com/office/drawing/2014/main" id="{93D30CE0-4552-4EDA-9E1E-5369175138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2700" cy="512094"/>
        </a:xfrm>
        <a:prstGeom prst="rect">
          <a:avLst/>
        </a:prstGeom>
      </xdr:spPr>
    </xdr:pic>
    <xdr:clientData/>
  </xdr:twoCellAnchor>
  <xdr:twoCellAnchor editAs="oneCell">
    <xdr:from>
      <xdr:col>9</xdr:col>
      <xdr:colOff>120650</xdr:colOff>
      <xdr:row>0</xdr:row>
      <xdr:rowOff>25400</xdr:rowOff>
    </xdr:from>
    <xdr:to>
      <xdr:col>9</xdr:col>
      <xdr:colOff>476250</xdr:colOff>
      <xdr:row>2</xdr:row>
      <xdr:rowOff>63500</xdr:rowOff>
    </xdr:to>
    <xdr:pic>
      <xdr:nvPicPr>
        <xdr:cNvPr id="7" name="Gráfico 6" descr="Início estrutura de tópicos">
          <a:hlinkClick xmlns:r="http://schemas.openxmlformats.org/officeDocument/2006/relationships" r:id="rId2"/>
          <a:extLst>
            <a:ext uri="{FF2B5EF4-FFF2-40B4-BE49-F238E27FC236}">
              <a16:creationId xmlns:a16="http://schemas.microsoft.com/office/drawing/2014/main" id="{0C9FB806-3F74-6816-5B1C-A815FCBD4D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7050" y="25400"/>
          <a:ext cx="355600" cy="355600"/>
        </a:xfrm>
        <a:prstGeom prst="rect">
          <a:avLst/>
        </a:prstGeom>
      </xdr:spPr>
    </xdr:pic>
    <xdr:clientData/>
  </xdr:twoCellAnchor>
  <xdr:twoCellAnchor editAs="oneCell">
    <xdr:from>
      <xdr:col>0</xdr:col>
      <xdr:colOff>0</xdr:colOff>
      <xdr:row>20</xdr:row>
      <xdr:rowOff>152400</xdr:rowOff>
    </xdr:from>
    <xdr:to>
      <xdr:col>0</xdr:col>
      <xdr:colOff>488950</xdr:colOff>
      <xdr:row>24</xdr:row>
      <xdr:rowOff>6350</xdr:rowOff>
    </xdr:to>
    <xdr:pic>
      <xdr:nvPicPr>
        <xdr:cNvPr id="11" name="Gráfico 10" descr="Selo 1 com preenchimento sólido">
          <a:extLst>
            <a:ext uri="{FF2B5EF4-FFF2-40B4-BE49-F238E27FC236}">
              <a16:creationId xmlns:a16="http://schemas.microsoft.com/office/drawing/2014/main" id="{7D63660B-2264-17F2-6DD5-F236757089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3644900"/>
          <a:ext cx="488950" cy="488950"/>
        </a:xfrm>
        <a:prstGeom prst="rect">
          <a:avLst/>
        </a:prstGeom>
      </xdr:spPr>
    </xdr:pic>
    <xdr:clientData/>
  </xdr:twoCellAnchor>
  <xdr:twoCellAnchor>
    <xdr:from>
      <xdr:col>0</xdr:col>
      <xdr:colOff>406400</xdr:colOff>
      <xdr:row>20</xdr:row>
      <xdr:rowOff>120650</xdr:rowOff>
    </xdr:from>
    <xdr:to>
      <xdr:col>9</xdr:col>
      <xdr:colOff>412750</xdr:colOff>
      <xdr:row>24</xdr:row>
      <xdr:rowOff>82550</xdr:rowOff>
    </xdr:to>
    <xdr:sp macro="" textlink="">
      <xdr:nvSpPr>
        <xdr:cNvPr id="12" name="Retângulo: Cantos Arredondados 11">
          <a:extLst>
            <a:ext uri="{FF2B5EF4-FFF2-40B4-BE49-F238E27FC236}">
              <a16:creationId xmlns:a16="http://schemas.microsoft.com/office/drawing/2014/main" id="{59FEEB3C-2D69-7DEC-B1B0-9FBCD4101131}"/>
            </a:ext>
          </a:extLst>
        </xdr:cNvPr>
        <xdr:cNvSpPr/>
      </xdr:nvSpPr>
      <xdr:spPr>
        <a:xfrm>
          <a:off x="406400" y="3613150"/>
          <a:ext cx="5492750" cy="5969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21</xdr:row>
      <xdr:rowOff>12700</xdr:rowOff>
    </xdr:from>
    <xdr:to>
      <xdr:col>9</xdr:col>
      <xdr:colOff>342900</xdr:colOff>
      <xdr:row>24</xdr:row>
      <xdr:rowOff>12700</xdr:rowOff>
    </xdr:to>
    <xdr:sp macro="" textlink="">
      <xdr:nvSpPr>
        <xdr:cNvPr id="5121" name="Text Box 1">
          <a:extLst>
            <a:ext uri="{FF2B5EF4-FFF2-40B4-BE49-F238E27FC236}">
              <a16:creationId xmlns:a16="http://schemas.microsoft.com/office/drawing/2014/main" id="{647B35AD-C916-7477-5F9D-B9F1CEBC78A3}"/>
            </a:ext>
          </a:extLst>
        </xdr:cNvPr>
        <xdr:cNvSpPr txBox="1">
          <a:spLocks noChangeArrowheads="1"/>
        </xdr:cNvSpPr>
      </xdr:nvSpPr>
      <xdr:spPr bwMode="auto">
        <a:xfrm>
          <a:off x="533400" y="3663950"/>
          <a:ext cx="5295900" cy="4762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Arial"/>
              <a:cs typeface="Arial"/>
            </a:rPr>
            <a:t>The largest funnel loss occurs between Technical Test and Offer. This pattern appears across all roles, suggesting a structural opportunity in post-assessment calibration rather than a role-specific issue.</a:t>
          </a:r>
        </a:p>
      </xdr:txBody>
    </xdr:sp>
    <xdr:clientData/>
  </xdr:twoCellAnchor>
  <xdr:twoCellAnchor>
    <xdr:from>
      <xdr:col>0</xdr:col>
      <xdr:colOff>393700</xdr:colOff>
      <xdr:row>25</xdr:row>
      <xdr:rowOff>44450</xdr:rowOff>
    </xdr:from>
    <xdr:to>
      <xdr:col>9</xdr:col>
      <xdr:colOff>400050</xdr:colOff>
      <xdr:row>29</xdr:row>
      <xdr:rowOff>6350</xdr:rowOff>
    </xdr:to>
    <xdr:sp macro="" textlink="">
      <xdr:nvSpPr>
        <xdr:cNvPr id="15" name="Retângulo: Cantos Arredondados 14">
          <a:extLst>
            <a:ext uri="{FF2B5EF4-FFF2-40B4-BE49-F238E27FC236}">
              <a16:creationId xmlns:a16="http://schemas.microsoft.com/office/drawing/2014/main" id="{82FC5F2B-B3AE-46B9-9FDC-C4D683E2F4FA}"/>
            </a:ext>
          </a:extLst>
        </xdr:cNvPr>
        <xdr:cNvSpPr/>
      </xdr:nvSpPr>
      <xdr:spPr>
        <a:xfrm>
          <a:off x="393700" y="4330700"/>
          <a:ext cx="5492750" cy="5969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469900</xdr:colOff>
      <xdr:row>25</xdr:row>
      <xdr:rowOff>88900</xdr:rowOff>
    </xdr:from>
    <xdr:to>
      <xdr:col>9</xdr:col>
      <xdr:colOff>279400</xdr:colOff>
      <xdr:row>28</xdr:row>
      <xdr:rowOff>88900</xdr:rowOff>
    </xdr:to>
    <xdr:sp macro="" textlink="">
      <xdr:nvSpPr>
        <xdr:cNvPr id="16" name="Text Box 1">
          <a:extLst>
            <a:ext uri="{FF2B5EF4-FFF2-40B4-BE49-F238E27FC236}">
              <a16:creationId xmlns:a16="http://schemas.microsoft.com/office/drawing/2014/main" id="{5B5F0432-D2E1-47E8-BF18-AB68B2117E8F}"/>
            </a:ext>
          </a:extLst>
        </xdr:cNvPr>
        <xdr:cNvSpPr txBox="1">
          <a:spLocks noChangeArrowheads="1"/>
        </xdr:cNvSpPr>
      </xdr:nvSpPr>
      <xdr:spPr bwMode="auto">
        <a:xfrm>
          <a:off x="469900" y="4375150"/>
          <a:ext cx="5295900" cy="4762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mn-lt"/>
              <a:cs typeface="+mn-cs"/>
            </a:rPr>
            <a:t>GitHub and Inbound show the highest hire conversion rates. Events and Referrals show the lowest overall conversion, although channel decisions should also consider role criticality, cost, and pipeline quality.</a:t>
          </a:r>
        </a:p>
      </xdr:txBody>
    </xdr:sp>
    <xdr:clientData/>
  </xdr:twoCellAnchor>
  <xdr:twoCellAnchor>
    <xdr:from>
      <xdr:col>0</xdr:col>
      <xdr:colOff>393700</xdr:colOff>
      <xdr:row>29</xdr:row>
      <xdr:rowOff>127000</xdr:rowOff>
    </xdr:from>
    <xdr:to>
      <xdr:col>9</xdr:col>
      <xdr:colOff>400050</xdr:colOff>
      <xdr:row>33</xdr:row>
      <xdr:rowOff>88900</xdr:rowOff>
    </xdr:to>
    <xdr:sp macro="" textlink="">
      <xdr:nvSpPr>
        <xdr:cNvPr id="18" name="Retângulo: Cantos Arredondados 17">
          <a:extLst>
            <a:ext uri="{FF2B5EF4-FFF2-40B4-BE49-F238E27FC236}">
              <a16:creationId xmlns:a16="http://schemas.microsoft.com/office/drawing/2014/main" id="{B6CEE9DD-6677-43C2-A4A8-203FBD4D8C27}"/>
            </a:ext>
          </a:extLst>
        </xdr:cNvPr>
        <xdr:cNvSpPr/>
      </xdr:nvSpPr>
      <xdr:spPr>
        <a:xfrm>
          <a:off x="393700" y="5048250"/>
          <a:ext cx="5492750" cy="5969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30</xdr:row>
      <xdr:rowOff>25400</xdr:rowOff>
    </xdr:from>
    <xdr:to>
      <xdr:col>9</xdr:col>
      <xdr:colOff>266700</xdr:colOff>
      <xdr:row>33</xdr:row>
      <xdr:rowOff>25400</xdr:rowOff>
    </xdr:to>
    <xdr:sp macro="" textlink="">
      <xdr:nvSpPr>
        <xdr:cNvPr id="19" name="Text Box 1">
          <a:extLst>
            <a:ext uri="{FF2B5EF4-FFF2-40B4-BE49-F238E27FC236}">
              <a16:creationId xmlns:a16="http://schemas.microsoft.com/office/drawing/2014/main" id="{2010A8B3-F327-41CB-B6ED-3F419D40E07D}"/>
            </a:ext>
          </a:extLst>
        </xdr:cNvPr>
        <xdr:cNvSpPr txBox="1">
          <a:spLocks noChangeArrowheads="1"/>
        </xdr:cNvSpPr>
      </xdr:nvSpPr>
      <xdr:spPr bwMode="auto">
        <a:xfrm>
          <a:off x="457200" y="5105400"/>
          <a:ext cx="5295900" cy="4762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mn-lt"/>
              <a:cs typeface="+mn-cs"/>
            </a:rPr>
            <a:t>Response time alone is not a reliable predictor of hiring. Candidates who replied later still converted, so recruiters should not automatically deprioritize profiles solely because of delayed responses.</a:t>
          </a:r>
        </a:p>
      </xdr:txBody>
    </xdr:sp>
    <xdr:clientData/>
  </xdr:twoCellAnchor>
  <xdr:twoCellAnchor>
    <xdr:from>
      <xdr:col>0</xdr:col>
      <xdr:colOff>374650</xdr:colOff>
      <xdr:row>34</xdr:row>
      <xdr:rowOff>44450</xdr:rowOff>
    </xdr:from>
    <xdr:to>
      <xdr:col>9</xdr:col>
      <xdr:colOff>381000</xdr:colOff>
      <xdr:row>38</xdr:row>
      <xdr:rowOff>6350</xdr:rowOff>
    </xdr:to>
    <xdr:sp macro="" textlink="">
      <xdr:nvSpPr>
        <xdr:cNvPr id="21" name="Retângulo: Cantos Arredondados 20">
          <a:extLst>
            <a:ext uri="{FF2B5EF4-FFF2-40B4-BE49-F238E27FC236}">
              <a16:creationId xmlns:a16="http://schemas.microsoft.com/office/drawing/2014/main" id="{5316F091-8691-429E-BDCF-2B96CE137E80}"/>
            </a:ext>
          </a:extLst>
        </xdr:cNvPr>
        <xdr:cNvSpPr/>
      </xdr:nvSpPr>
      <xdr:spPr>
        <a:xfrm>
          <a:off x="374650" y="5759450"/>
          <a:ext cx="5492750" cy="5969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35</xdr:row>
      <xdr:rowOff>19050</xdr:rowOff>
    </xdr:from>
    <xdr:to>
      <xdr:col>9</xdr:col>
      <xdr:colOff>120650</xdr:colOff>
      <xdr:row>37</xdr:row>
      <xdr:rowOff>50800</xdr:rowOff>
    </xdr:to>
    <xdr:sp macro="" textlink="">
      <xdr:nvSpPr>
        <xdr:cNvPr id="22" name="Text Box 1">
          <a:extLst>
            <a:ext uri="{FF2B5EF4-FFF2-40B4-BE49-F238E27FC236}">
              <a16:creationId xmlns:a16="http://schemas.microsoft.com/office/drawing/2014/main" id="{C6E32488-112B-49E5-A2A5-8F6F93106EBF}"/>
            </a:ext>
          </a:extLst>
        </xdr:cNvPr>
        <xdr:cNvSpPr txBox="1">
          <a:spLocks noChangeArrowheads="1"/>
        </xdr:cNvSpPr>
      </xdr:nvSpPr>
      <xdr:spPr bwMode="auto">
        <a:xfrm>
          <a:off x="457200" y="5892800"/>
          <a:ext cx="5149850" cy="349250"/>
        </a:xfrm>
        <a:prstGeom prst="rect">
          <a:avLst/>
        </a:prstGeom>
        <a:noFill/>
        <a:ln w="9525">
          <a:noFill/>
          <a:miter lim="800000"/>
          <a:headEnd/>
          <a:tailEnd/>
        </a:ln>
      </xdr:spPr>
      <xdr:txBody>
        <a:bodyPr vertOverflow="clip" wrap="square" lIns="36576" tIns="27432" rIns="0" bIns="0" anchor="t" upright="1"/>
        <a:lstStyle/>
        <a:p>
          <a:r>
            <a:rPr lang="en-US" sz="1000"/>
            <a:t>210 candidates did not respond, highlighting an opportunity to improve recruiter outreach and increase the role's attractiveness.</a:t>
          </a:r>
        </a:p>
      </xdr:txBody>
    </xdr:sp>
    <xdr:clientData/>
  </xdr:twoCellAnchor>
  <xdr:twoCellAnchor editAs="oneCell">
    <xdr:from>
      <xdr:col>0</xdr:col>
      <xdr:colOff>0</xdr:colOff>
      <xdr:row>34</xdr:row>
      <xdr:rowOff>88900</xdr:rowOff>
    </xdr:from>
    <xdr:to>
      <xdr:col>0</xdr:col>
      <xdr:colOff>495300</xdr:colOff>
      <xdr:row>37</xdr:row>
      <xdr:rowOff>107950</xdr:rowOff>
    </xdr:to>
    <xdr:pic>
      <xdr:nvPicPr>
        <xdr:cNvPr id="24" name="Gráfico 23" descr="Selo 4 com preenchimento sólido">
          <a:extLst>
            <a:ext uri="{FF2B5EF4-FFF2-40B4-BE49-F238E27FC236}">
              <a16:creationId xmlns:a16="http://schemas.microsoft.com/office/drawing/2014/main" id="{73C6E569-A864-71BE-4EE5-0D6D36B783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5803900"/>
          <a:ext cx="495300" cy="495300"/>
        </a:xfrm>
        <a:prstGeom prst="rect">
          <a:avLst/>
        </a:prstGeom>
      </xdr:spPr>
    </xdr:pic>
    <xdr:clientData/>
  </xdr:twoCellAnchor>
  <xdr:twoCellAnchor editAs="oneCell">
    <xdr:from>
      <xdr:col>0</xdr:col>
      <xdr:colOff>0</xdr:colOff>
      <xdr:row>25</xdr:row>
      <xdr:rowOff>80150</xdr:rowOff>
    </xdr:from>
    <xdr:to>
      <xdr:col>0</xdr:col>
      <xdr:colOff>497700</xdr:colOff>
      <xdr:row>28</xdr:row>
      <xdr:rowOff>101600</xdr:rowOff>
    </xdr:to>
    <xdr:pic>
      <xdr:nvPicPr>
        <xdr:cNvPr id="26" name="Gráfico 25" descr="Crachá com preenchimento sólido">
          <a:extLst>
            <a:ext uri="{FF2B5EF4-FFF2-40B4-BE49-F238E27FC236}">
              <a16:creationId xmlns:a16="http://schemas.microsoft.com/office/drawing/2014/main" id="{89E3A533-06F6-4B1C-1F60-3C6295724DC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4366400"/>
          <a:ext cx="497700" cy="497700"/>
        </a:xfrm>
        <a:prstGeom prst="rect">
          <a:avLst/>
        </a:prstGeom>
      </xdr:spPr>
    </xdr:pic>
    <xdr:clientData/>
  </xdr:twoCellAnchor>
  <xdr:twoCellAnchor editAs="oneCell">
    <xdr:from>
      <xdr:col>0</xdr:col>
      <xdr:colOff>0</xdr:colOff>
      <xdr:row>30</xdr:row>
      <xdr:rowOff>33300</xdr:rowOff>
    </xdr:from>
    <xdr:to>
      <xdr:col>0</xdr:col>
      <xdr:colOff>493750</xdr:colOff>
      <xdr:row>33</xdr:row>
      <xdr:rowOff>50800</xdr:rowOff>
    </xdr:to>
    <xdr:pic>
      <xdr:nvPicPr>
        <xdr:cNvPr id="28" name="Gráfico 27" descr="Selo 3 com preenchimento sólido">
          <a:extLst>
            <a:ext uri="{FF2B5EF4-FFF2-40B4-BE49-F238E27FC236}">
              <a16:creationId xmlns:a16="http://schemas.microsoft.com/office/drawing/2014/main" id="{E816D9ED-9582-DB3D-DB99-BFB6AD21D6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5113300"/>
          <a:ext cx="493750" cy="493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228600</xdr:colOff>
      <xdr:row>3</xdr:row>
      <xdr:rowOff>35844</xdr:rowOff>
    </xdr:to>
    <xdr:pic>
      <xdr:nvPicPr>
        <xdr:cNvPr id="2" name="Imagem 1">
          <a:extLst>
            <a:ext uri="{FF2B5EF4-FFF2-40B4-BE49-F238E27FC236}">
              <a16:creationId xmlns:a16="http://schemas.microsoft.com/office/drawing/2014/main" id="{650C008E-80D1-452D-ACFC-0FAE4BDA1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2700" cy="512094"/>
        </a:xfrm>
        <a:prstGeom prst="rect">
          <a:avLst/>
        </a:prstGeom>
      </xdr:spPr>
    </xdr:pic>
    <xdr:clientData/>
  </xdr:twoCellAnchor>
  <xdr:twoCellAnchor editAs="oneCell">
    <xdr:from>
      <xdr:col>9</xdr:col>
      <xdr:colOff>177800</xdr:colOff>
      <xdr:row>0</xdr:row>
      <xdr:rowOff>50800</xdr:rowOff>
    </xdr:from>
    <xdr:to>
      <xdr:col>9</xdr:col>
      <xdr:colOff>533400</xdr:colOff>
      <xdr:row>2</xdr:row>
      <xdr:rowOff>88900</xdr:rowOff>
    </xdr:to>
    <xdr:pic>
      <xdr:nvPicPr>
        <xdr:cNvPr id="3" name="Gráfico 2" descr="Início estrutura de tópicos">
          <a:hlinkClick xmlns:r="http://schemas.openxmlformats.org/officeDocument/2006/relationships" r:id="rId2"/>
          <a:extLst>
            <a:ext uri="{FF2B5EF4-FFF2-40B4-BE49-F238E27FC236}">
              <a16:creationId xmlns:a16="http://schemas.microsoft.com/office/drawing/2014/main" id="{938E1298-ED61-4496-A3E4-FDF755B757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36100" y="50800"/>
          <a:ext cx="355600" cy="355600"/>
        </a:xfrm>
        <a:prstGeom prst="rect">
          <a:avLst/>
        </a:prstGeom>
      </xdr:spPr>
    </xdr:pic>
    <xdr:clientData/>
  </xdr:twoCellAnchor>
  <xdr:twoCellAnchor>
    <xdr:from>
      <xdr:col>3</xdr:col>
      <xdr:colOff>130175</xdr:colOff>
      <xdr:row>5</xdr:row>
      <xdr:rowOff>82550</xdr:rowOff>
    </xdr:from>
    <xdr:to>
      <xdr:col>9</xdr:col>
      <xdr:colOff>622300</xdr:colOff>
      <xdr:row>20</xdr:row>
      <xdr:rowOff>38100</xdr:rowOff>
    </xdr:to>
    <xdr:graphicFrame macro="">
      <xdr:nvGraphicFramePr>
        <xdr:cNvPr id="5" name="Gráfico 4">
          <a:extLst>
            <a:ext uri="{FF2B5EF4-FFF2-40B4-BE49-F238E27FC236}">
              <a16:creationId xmlns:a16="http://schemas.microsoft.com/office/drawing/2014/main" id="{D850A7A0-C2FA-4E1A-ABBD-436BB8D6B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3174</xdr:colOff>
      <xdr:row>97</xdr:row>
      <xdr:rowOff>146050</xdr:rowOff>
    </xdr:from>
    <xdr:to>
      <xdr:col>8</xdr:col>
      <xdr:colOff>717549</xdr:colOff>
      <xdr:row>111</xdr:row>
      <xdr:rowOff>114300</xdr:rowOff>
    </xdr:to>
    <xdr:graphicFrame macro="">
      <xdr:nvGraphicFramePr>
        <xdr:cNvPr id="6" name="Gráfico 5">
          <a:extLst>
            <a:ext uri="{FF2B5EF4-FFF2-40B4-BE49-F238E27FC236}">
              <a16:creationId xmlns:a16="http://schemas.microsoft.com/office/drawing/2014/main" id="{DA9A88BC-3601-F651-771A-9B68573F2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63500</xdr:colOff>
      <xdr:row>3</xdr:row>
      <xdr:rowOff>35844</xdr:rowOff>
    </xdr:to>
    <xdr:pic>
      <xdr:nvPicPr>
        <xdr:cNvPr id="2" name="Imagem 1">
          <a:extLst>
            <a:ext uri="{FF2B5EF4-FFF2-40B4-BE49-F238E27FC236}">
              <a16:creationId xmlns:a16="http://schemas.microsoft.com/office/drawing/2014/main" id="{403CEB58-1395-4B29-9DC9-0A055B60F2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2700" cy="512094"/>
        </a:xfrm>
        <a:prstGeom prst="rect">
          <a:avLst/>
        </a:prstGeom>
      </xdr:spPr>
    </xdr:pic>
    <xdr:clientData/>
  </xdr:twoCellAnchor>
  <xdr:twoCellAnchor editAs="oneCell">
    <xdr:from>
      <xdr:col>9</xdr:col>
      <xdr:colOff>177800</xdr:colOff>
      <xdr:row>0</xdr:row>
      <xdr:rowOff>50800</xdr:rowOff>
    </xdr:from>
    <xdr:to>
      <xdr:col>9</xdr:col>
      <xdr:colOff>533400</xdr:colOff>
      <xdr:row>2</xdr:row>
      <xdr:rowOff>88900</xdr:rowOff>
    </xdr:to>
    <xdr:pic>
      <xdr:nvPicPr>
        <xdr:cNvPr id="3" name="Gráfico 2" descr="Início estrutura de tópicos">
          <a:hlinkClick xmlns:r="http://schemas.openxmlformats.org/officeDocument/2006/relationships" r:id="rId2"/>
          <a:extLst>
            <a:ext uri="{FF2B5EF4-FFF2-40B4-BE49-F238E27FC236}">
              <a16:creationId xmlns:a16="http://schemas.microsoft.com/office/drawing/2014/main" id="{D2E5F0E2-D22C-4D4F-A27F-6E4D307F9A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07550" y="50800"/>
          <a:ext cx="355600" cy="355600"/>
        </a:xfrm>
        <a:prstGeom prst="rect">
          <a:avLst/>
        </a:prstGeom>
      </xdr:spPr>
    </xdr:pic>
    <xdr:clientData/>
  </xdr:twoCellAnchor>
  <xdr:twoCellAnchor editAs="oneCell">
    <xdr:from>
      <xdr:col>0</xdr:col>
      <xdr:colOff>31750</xdr:colOff>
      <xdr:row>5</xdr:row>
      <xdr:rowOff>6350</xdr:rowOff>
    </xdr:from>
    <xdr:to>
      <xdr:col>0</xdr:col>
      <xdr:colOff>520700</xdr:colOff>
      <xdr:row>8</xdr:row>
      <xdr:rowOff>19050</xdr:rowOff>
    </xdr:to>
    <xdr:pic>
      <xdr:nvPicPr>
        <xdr:cNvPr id="4" name="Gráfico 3" descr="Selo 1 com preenchimento sólido">
          <a:extLst>
            <a:ext uri="{FF2B5EF4-FFF2-40B4-BE49-F238E27FC236}">
              <a16:creationId xmlns:a16="http://schemas.microsoft.com/office/drawing/2014/main" id="{9533ABDB-50FB-41B0-89CE-A3BAF9CA10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750" y="800100"/>
          <a:ext cx="488950" cy="488950"/>
        </a:xfrm>
        <a:prstGeom prst="rect">
          <a:avLst/>
        </a:prstGeom>
      </xdr:spPr>
    </xdr:pic>
    <xdr:clientData/>
  </xdr:twoCellAnchor>
  <xdr:twoCellAnchor>
    <xdr:from>
      <xdr:col>0</xdr:col>
      <xdr:colOff>438150</xdr:colOff>
      <xdr:row>4</xdr:row>
      <xdr:rowOff>133350</xdr:rowOff>
    </xdr:from>
    <xdr:to>
      <xdr:col>9</xdr:col>
      <xdr:colOff>444500</xdr:colOff>
      <xdr:row>8</xdr:row>
      <xdr:rowOff>107950</xdr:rowOff>
    </xdr:to>
    <xdr:sp macro="" textlink="">
      <xdr:nvSpPr>
        <xdr:cNvPr id="5" name="Retângulo: Cantos Arredondados 4">
          <a:extLst>
            <a:ext uri="{FF2B5EF4-FFF2-40B4-BE49-F238E27FC236}">
              <a16:creationId xmlns:a16="http://schemas.microsoft.com/office/drawing/2014/main" id="{058D1D8D-D036-4841-A399-60BB7490858D}"/>
            </a:ext>
          </a:extLst>
        </xdr:cNvPr>
        <xdr:cNvSpPr/>
      </xdr:nvSpPr>
      <xdr:spPr>
        <a:xfrm>
          <a:off x="438150" y="768350"/>
          <a:ext cx="5492750" cy="6096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565150</xdr:colOff>
      <xdr:row>5</xdr:row>
      <xdr:rowOff>25400</xdr:rowOff>
    </xdr:from>
    <xdr:to>
      <xdr:col>9</xdr:col>
      <xdr:colOff>374650</xdr:colOff>
      <xdr:row>8</xdr:row>
      <xdr:rowOff>63500</xdr:rowOff>
    </xdr:to>
    <xdr:sp macro="" textlink="">
      <xdr:nvSpPr>
        <xdr:cNvPr id="6" name="Text Box 1">
          <a:extLst>
            <a:ext uri="{FF2B5EF4-FFF2-40B4-BE49-F238E27FC236}">
              <a16:creationId xmlns:a16="http://schemas.microsoft.com/office/drawing/2014/main" id="{779D7EC3-6A88-4AFD-90BC-20C78982358A}"/>
            </a:ext>
          </a:extLst>
        </xdr:cNvPr>
        <xdr:cNvSpPr txBox="1">
          <a:spLocks noChangeArrowheads="1"/>
        </xdr:cNvSpPr>
      </xdr:nvSpPr>
      <xdr:spPr bwMode="auto">
        <a:xfrm>
          <a:off x="565150" y="819150"/>
          <a:ext cx="5295900" cy="514350"/>
        </a:xfrm>
        <a:prstGeom prst="rect">
          <a:avLst/>
        </a:prstGeom>
        <a:noFill/>
        <a:ln w="9525">
          <a:noFill/>
          <a:miter lim="800000"/>
          <a:headEnd/>
          <a:tailEnd/>
        </a:ln>
      </xdr:spPr>
      <xdr:txBody>
        <a:bodyPr vertOverflow="clip" wrap="square" lIns="36576" tIns="27432" rIns="0" bIns="0" anchor="t" upright="1"/>
        <a:lstStyle/>
        <a:p>
          <a:pPr algn="l" rtl="0">
            <a:defRPr sz="1000"/>
          </a:pPr>
          <a:r>
            <a:rPr lang="en-US"/>
            <a:t>Review Technical Assessment Calibration</a:t>
          </a:r>
        </a:p>
        <a:p>
          <a:r>
            <a:rPr lang="en-US" sz="1000" b="1"/>
            <a:t>Reason: </a:t>
          </a:r>
          <a:r>
            <a:rPr lang="en-US" sz="1000"/>
            <a:t>The biggest funnel loss occurs after the technical assessment across every role.</a:t>
          </a:r>
        </a:p>
        <a:p>
          <a:r>
            <a:rPr lang="en-US" sz="1000" b="1"/>
            <a:t>Potential impact: </a:t>
          </a:r>
          <a:r>
            <a:rPr lang="en-US" sz="1000"/>
            <a:t>Increase Offer conversion.</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431800</xdr:colOff>
      <xdr:row>9</xdr:row>
      <xdr:rowOff>101600</xdr:rowOff>
    </xdr:from>
    <xdr:to>
      <xdr:col>9</xdr:col>
      <xdr:colOff>438150</xdr:colOff>
      <xdr:row>13</xdr:row>
      <xdr:rowOff>76200</xdr:rowOff>
    </xdr:to>
    <xdr:sp macro="" textlink="">
      <xdr:nvSpPr>
        <xdr:cNvPr id="8" name="Retângulo: Cantos Arredondados 7">
          <a:extLst>
            <a:ext uri="{FF2B5EF4-FFF2-40B4-BE49-F238E27FC236}">
              <a16:creationId xmlns:a16="http://schemas.microsoft.com/office/drawing/2014/main" id="{4830EA7E-E085-4C11-B9D9-A7E19A31C45E}"/>
            </a:ext>
          </a:extLst>
        </xdr:cNvPr>
        <xdr:cNvSpPr/>
      </xdr:nvSpPr>
      <xdr:spPr>
        <a:xfrm>
          <a:off x="431800" y="1530350"/>
          <a:ext cx="5492750" cy="6096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10</xdr:row>
      <xdr:rowOff>44450</xdr:rowOff>
    </xdr:from>
    <xdr:to>
      <xdr:col>9</xdr:col>
      <xdr:colOff>342900</xdr:colOff>
      <xdr:row>12</xdr:row>
      <xdr:rowOff>133350</xdr:rowOff>
    </xdr:to>
    <xdr:sp macro="" textlink="">
      <xdr:nvSpPr>
        <xdr:cNvPr id="9" name="Text Box 1">
          <a:extLst>
            <a:ext uri="{FF2B5EF4-FFF2-40B4-BE49-F238E27FC236}">
              <a16:creationId xmlns:a16="http://schemas.microsoft.com/office/drawing/2014/main" id="{0A142BC6-73F6-45D5-AFC3-496E34D58BA7}"/>
            </a:ext>
          </a:extLst>
        </xdr:cNvPr>
        <xdr:cNvSpPr txBox="1">
          <a:spLocks noChangeArrowheads="1"/>
        </xdr:cNvSpPr>
      </xdr:nvSpPr>
      <xdr:spPr bwMode="auto">
        <a:xfrm>
          <a:off x="533400" y="1631950"/>
          <a:ext cx="5295900" cy="406400"/>
        </a:xfrm>
        <a:prstGeom prst="rect">
          <a:avLst/>
        </a:prstGeom>
        <a:noFill/>
        <a:ln w="9525">
          <a:noFill/>
          <a:miter lim="800000"/>
          <a:headEnd/>
          <a:tailEnd/>
        </a:ln>
      </xdr:spPr>
      <xdr:txBody>
        <a:bodyPr vertOverflow="clip" wrap="square" lIns="36576" tIns="27432" rIns="0" bIns="0" anchor="t" upright="1"/>
        <a:lstStyle/>
        <a:p>
          <a:r>
            <a:rPr lang="en-US"/>
            <a:t>Prioritize GitHub</a:t>
          </a:r>
        </a:p>
        <a:p>
          <a:r>
            <a:rPr lang="en-US" b="1"/>
            <a:t>Reason: </a:t>
          </a:r>
          <a:r>
            <a:rPr lang="en-US"/>
            <a:t>Highest hiring conversion.</a:t>
          </a:r>
          <a:endParaRPr lang="en-US" sz="1000" b="0" i="0" u="none" strike="noStrike" baseline="0">
            <a:solidFill>
              <a:srgbClr val="000000"/>
            </a:solidFill>
            <a:latin typeface="Arial"/>
            <a:cs typeface="Arial"/>
          </a:endParaRPr>
        </a:p>
      </xdr:txBody>
    </xdr:sp>
    <xdr:clientData/>
  </xdr:twoCellAnchor>
  <xdr:twoCellAnchor>
    <xdr:from>
      <xdr:col>0</xdr:col>
      <xdr:colOff>419100</xdr:colOff>
      <xdr:row>14</xdr:row>
      <xdr:rowOff>50800</xdr:rowOff>
    </xdr:from>
    <xdr:to>
      <xdr:col>9</xdr:col>
      <xdr:colOff>425450</xdr:colOff>
      <xdr:row>18</xdr:row>
      <xdr:rowOff>25400</xdr:rowOff>
    </xdr:to>
    <xdr:sp macro="" textlink="">
      <xdr:nvSpPr>
        <xdr:cNvPr id="11" name="Retângulo: Cantos Arredondados 10">
          <a:extLst>
            <a:ext uri="{FF2B5EF4-FFF2-40B4-BE49-F238E27FC236}">
              <a16:creationId xmlns:a16="http://schemas.microsoft.com/office/drawing/2014/main" id="{879852FE-A6A9-40B5-BFFD-FC34A8F891F1}"/>
            </a:ext>
          </a:extLst>
        </xdr:cNvPr>
        <xdr:cNvSpPr/>
      </xdr:nvSpPr>
      <xdr:spPr>
        <a:xfrm>
          <a:off x="419100" y="2273300"/>
          <a:ext cx="5492750" cy="6096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520700</xdr:colOff>
      <xdr:row>14</xdr:row>
      <xdr:rowOff>152400</xdr:rowOff>
    </xdr:from>
    <xdr:to>
      <xdr:col>9</xdr:col>
      <xdr:colOff>330200</xdr:colOff>
      <xdr:row>17</xdr:row>
      <xdr:rowOff>82550</xdr:rowOff>
    </xdr:to>
    <xdr:sp macro="" textlink="">
      <xdr:nvSpPr>
        <xdr:cNvPr id="12" name="Text Box 1">
          <a:extLst>
            <a:ext uri="{FF2B5EF4-FFF2-40B4-BE49-F238E27FC236}">
              <a16:creationId xmlns:a16="http://schemas.microsoft.com/office/drawing/2014/main" id="{4B7B1046-6B39-4B4B-8A71-AA13E077F61F}"/>
            </a:ext>
          </a:extLst>
        </xdr:cNvPr>
        <xdr:cNvSpPr txBox="1">
          <a:spLocks noChangeArrowheads="1"/>
        </xdr:cNvSpPr>
      </xdr:nvSpPr>
      <xdr:spPr bwMode="auto">
        <a:xfrm>
          <a:off x="520700" y="2374900"/>
          <a:ext cx="5295900" cy="406400"/>
        </a:xfrm>
        <a:prstGeom prst="rect">
          <a:avLst/>
        </a:prstGeom>
        <a:noFill/>
        <a:ln w="9525">
          <a:noFill/>
          <a:miter lim="800000"/>
          <a:headEnd/>
          <a:tailEnd/>
        </a:ln>
      </xdr:spPr>
      <xdr:txBody>
        <a:bodyPr vertOverflow="clip" wrap="square" lIns="36576" tIns="27432" rIns="0" bIns="0" anchor="t" upright="1"/>
        <a:lstStyle/>
        <a:p>
          <a:r>
            <a:rPr lang="en-US"/>
            <a:t>Improve ATS </a:t>
          </a:r>
          <a:r>
            <a:rPr lang="en-US" i="1"/>
            <a:t>Data Quality</a:t>
          </a:r>
          <a:endParaRPr lang="en-US"/>
        </a:p>
        <a:p>
          <a:r>
            <a:rPr lang="en-US" b="1"/>
            <a:t>Reason: </a:t>
          </a:r>
          <a:r>
            <a:rPr lang="en-US"/>
            <a:t>177 candidates have no reject reason.</a:t>
          </a:r>
        </a:p>
      </xdr:txBody>
    </xdr:sp>
    <xdr:clientData/>
  </xdr:twoCellAnchor>
  <xdr:twoCellAnchor>
    <xdr:from>
      <xdr:col>0</xdr:col>
      <xdr:colOff>419100</xdr:colOff>
      <xdr:row>18</xdr:row>
      <xdr:rowOff>152400</xdr:rowOff>
    </xdr:from>
    <xdr:to>
      <xdr:col>9</xdr:col>
      <xdr:colOff>425450</xdr:colOff>
      <xdr:row>22</xdr:row>
      <xdr:rowOff>127000</xdr:rowOff>
    </xdr:to>
    <xdr:sp macro="" textlink="">
      <xdr:nvSpPr>
        <xdr:cNvPr id="14" name="Retângulo: Cantos Arredondados 13">
          <a:extLst>
            <a:ext uri="{FF2B5EF4-FFF2-40B4-BE49-F238E27FC236}">
              <a16:creationId xmlns:a16="http://schemas.microsoft.com/office/drawing/2014/main" id="{2E285C02-FA44-478B-AF0B-7E6EF80DB7F7}"/>
            </a:ext>
          </a:extLst>
        </xdr:cNvPr>
        <xdr:cNvSpPr/>
      </xdr:nvSpPr>
      <xdr:spPr>
        <a:xfrm>
          <a:off x="419100" y="3009900"/>
          <a:ext cx="5492750" cy="6096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520700</xdr:colOff>
      <xdr:row>19</xdr:row>
      <xdr:rowOff>95250</xdr:rowOff>
    </xdr:from>
    <xdr:to>
      <xdr:col>9</xdr:col>
      <xdr:colOff>330200</xdr:colOff>
      <xdr:row>22</xdr:row>
      <xdr:rowOff>25400</xdr:rowOff>
    </xdr:to>
    <xdr:sp macro="" textlink="">
      <xdr:nvSpPr>
        <xdr:cNvPr id="15" name="Text Box 1">
          <a:extLst>
            <a:ext uri="{FF2B5EF4-FFF2-40B4-BE49-F238E27FC236}">
              <a16:creationId xmlns:a16="http://schemas.microsoft.com/office/drawing/2014/main" id="{4A3E059E-42BE-46B2-99D5-01CBE7331100}"/>
            </a:ext>
          </a:extLst>
        </xdr:cNvPr>
        <xdr:cNvSpPr txBox="1">
          <a:spLocks noChangeArrowheads="1"/>
        </xdr:cNvSpPr>
      </xdr:nvSpPr>
      <xdr:spPr bwMode="auto">
        <a:xfrm>
          <a:off x="520700" y="3111500"/>
          <a:ext cx="5295900" cy="406400"/>
        </a:xfrm>
        <a:prstGeom prst="rect">
          <a:avLst/>
        </a:prstGeom>
        <a:noFill/>
        <a:ln w="9525">
          <a:noFill/>
          <a:miter lim="800000"/>
          <a:headEnd/>
          <a:tailEnd/>
        </a:ln>
      </xdr:spPr>
      <xdr:txBody>
        <a:bodyPr vertOverflow="clip" wrap="square" lIns="36576" tIns="27432" rIns="0" bIns="0" anchor="t" upright="1"/>
        <a:lstStyle/>
        <a:p>
          <a:r>
            <a:rPr lang="en-US"/>
            <a:t>Create Candidate Engagement Playbook</a:t>
          </a:r>
        </a:p>
        <a:p>
          <a:r>
            <a:rPr lang="en-US" b="1"/>
            <a:t>Reason: </a:t>
          </a:r>
          <a:r>
            <a:rPr lang="en-US"/>
            <a:t>No Response is responsible for most losses.</a:t>
          </a:r>
        </a:p>
      </xdr:txBody>
    </xdr:sp>
    <xdr:clientData/>
  </xdr:twoCellAnchor>
  <xdr:twoCellAnchor editAs="oneCell">
    <xdr:from>
      <xdr:col>0</xdr:col>
      <xdr:colOff>19050</xdr:colOff>
      <xdr:row>19</xdr:row>
      <xdr:rowOff>8750</xdr:rowOff>
    </xdr:from>
    <xdr:to>
      <xdr:col>0</xdr:col>
      <xdr:colOff>514350</xdr:colOff>
      <xdr:row>22</xdr:row>
      <xdr:rowOff>27800</xdr:rowOff>
    </xdr:to>
    <xdr:pic>
      <xdr:nvPicPr>
        <xdr:cNvPr id="16" name="Gráfico 15" descr="Selo 4 com preenchimento sólido">
          <a:extLst>
            <a:ext uri="{FF2B5EF4-FFF2-40B4-BE49-F238E27FC236}">
              <a16:creationId xmlns:a16="http://schemas.microsoft.com/office/drawing/2014/main" id="{50F76CE2-232F-4591-ADFA-3CCB103574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 y="3025000"/>
          <a:ext cx="495300" cy="495300"/>
        </a:xfrm>
        <a:prstGeom prst="rect">
          <a:avLst/>
        </a:prstGeom>
      </xdr:spPr>
    </xdr:pic>
    <xdr:clientData/>
  </xdr:twoCellAnchor>
  <xdr:twoCellAnchor editAs="oneCell">
    <xdr:from>
      <xdr:col>0</xdr:col>
      <xdr:colOff>19050</xdr:colOff>
      <xdr:row>10</xdr:row>
      <xdr:rowOff>0</xdr:rowOff>
    </xdr:from>
    <xdr:to>
      <xdr:col>0</xdr:col>
      <xdr:colOff>516750</xdr:colOff>
      <xdr:row>13</xdr:row>
      <xdr:rowOff>21450</xdr:rowOff>
    </xdr:to>
    <xdr:pic>
      <xdr:nvPicPr>
        <xdr:cNvPr id="17" name="Gráfico 16" descr="Crachá com preenchimento sólido">
          <a:extLst>
            <a:ext uri="{FF2B5EF4-FFF2-40B4-BE49-F238E27FC236}">
              <a16:creationId xmlns:a16="http://schemas.microsoft.com/office/drawing/2014/main" id="{5AF3396C-D7BD-4B69-BF0B-B544589F1E0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050" y="1587500"/>
          <a:ext cx="497700" cy="497700"/>
        </a:xfrm>
        <a:prstGeom prst="rect">
          <a:avLst/>
        </a:prstGeom>
      </xdr:spPr>
    </xdr:pic>
    <xdr:clientData/>
  </xdr:twoCellAnchor>
  <xdr:twoCellAnchor editAs="oneCell">
    <xdr:from>
      <xdr:col>0</xdr:col>
      <xdr:colOff>19050</xdr:colOff>
      <xdr:row>14</xdr:row>
      <xdr:rowOff>111900</xdr:rowOff>
    </xdr:from>
    <xdr:to>
      <xdr:col>0</xdr:col>
      <xdr:colOff>512800</xdr:colOff>
      <xdr:row>17</xdr:row>
      <xdr:rowOff>129400</xdr:rowOff>
    </xdr:to>
    <xdr:pic>
      <xdr:nvPicPr>
        <xdr:cNvPr id="18" name="Gráfico 17" descr="Selo 3 com preenchimento sólido">
          <a:extLst>
            <a:ext uri="{FF2B5EF4-FFF2-40B4-BE49-F238E27FC236}">
              <a16:creationId xmlns:a16="http://schemas.microsoft.com/office/drawing/2014/main" id="{08FC1AF8-A32A-45C6-9E99-8F1C6EE7737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050" y="2334400"/>
          <a:ext cx="493750" cy="493750"/>
        </a:xfrm>
        <a:prstGeom prst="rect">
          <a:avLst/>
        </a:prstGeom>
      </xdr:spPr>
    </xdr:pic>
    <xdr:clientData/>
  </xdr:twoCellAnchor>
  <xdr:twoCellAnchor>
    <xdr:from>
      <xdr:col>0</xdr:col>
      <xdr:colOff>361950</xdr:colOff>
      <xdr:row>26</xdr:row>
      <xdr:rowOff>82550</xdr:rowOff>
    </xdr:from>
    <xdr:to>
      <xdr:col>9</xdr:col>
      <xdr:colOff>368300</xdr:colOff>
      <xdr:row>58</xdr:row>
      <xdr:rowOff>146050</xdr:rowOff>
    </xdr:to>
    <xdr:sp macro="" textlink="">
      <xdr:nvSpPr>
        <xdr:cNvPr id="19" name="Retângulo: Cantos Arredondados 18">
          <a:extLst>
            <a:ext uri="{FF2B5EF4-FFF2-40B4-BE49-F238E27FC236}">
              <a16:creationId xmlns:a16="http://schemas.microsoft.com/office/drawing/2014/main" id="{350C7302-1B02-4C6C-AD6A-2C8A6A2ADF2C}"/>
            </a:ext>
          </a:extLst>
        </xdr:cNvPr>
        <xdr:cNvSpPr/>
      </xdr:nvSpPr>
      <xdr:spPr>
        <a:xfrm>
          <a:off x="361950" y="4216400"/>
          <a:ext cx="5492750" cy="5143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101600</xdr:colOff>
      <xdr:row>28</xdr:row>
      <xdr:rowOff>19050</xdr:rowOff>
    </xdr:from>
    <xdr:to>
      <xdr:col>9</xdr:col>
      <xdr:colOff>95250</xdr:colOff>
      <xdr:row>57</xdr:row>
      <xdr:rowOff>57150</xdr:rowOff>
    </xdr:to>
    <xdr:sp macro="" textlink="">
      <xdr:nvSpPr>
        <xdr:cNvPr id="20" name="Text Box 1">
          <a:extLst>
            <a:ext uri="{FF2B5EF4-FFF2-40B4-BE49-F238E27FC236}">
              <a16:creationId xmlns:a16="http://schemas.microsoft.com/office/drawing/2014/main" id="{DA681182-DD96-4B39-8F4C-79A186BA760A}"/>
            </a:ext>
          </a:extLst>
        </xdr:cNvPr>
        <xdr:cNvSpPr txBox="1">
          <a:spLocks noChangeArrowheads="1"/>
        </xdr:cNvSpPr>
      </xdr:nvSpPr>
      <xdr:spPr bwMode="auto">
        <a:xfrm>
          <a:off x="711200" y="4470400"/>
          <a:ext cx="4870450" cy="4641850"/>
        </a:xfrm>
        <a:prstGeom prst="rect">
          <a:avLst/>
        </a:prstGeom>
        <a:noFill/>
        <a:ln w="9525">
          <a:noFill/>
          <a:miter lim="800000"/>
          <a:headEnd/>
          <a:tailEnd/>
        </a:ln>
      </xdr:spPr>
      <xdr:txBody>
        <a:bodyPr vertOverflow="clip" wrap="square" lIns="36576" tIns="27432" rIns="0" bIns="0" anchor="t" upright="1"/>
        <a:lstStyle/>
        <a:p>
          <a:r>
            <a:rPr lang="en-US"/>
            <a:t>Overall, the recruitment process demonstrates consistent performance throughout the early stages of the hiring funnel, indicating that sourcing and initial qualification are generally effective.</a:t>
          </a:r>
          <a:br>
            <a:rPr lang="en-US"/>
          </a:br>
          <a:endParaRPr lang="en-US"/>
        </a:p>
        <a:p>
          <a:r>
            <a:rPr lang="en-US"/>
            <a:t>The primary opportunity identified is the conversion between </a:t>
          </a:r>
          <a:r>
            <a:rPr lang="en-US" b="1"/>
            <a:t>Technical Test and Offer</a:t>
          </a:r>
          <a:r>
            <a:rPr lang="en-US"/>
            <a:t>, which represents the largest drop across every analyzed role. Because this pattern is consistent regardless of role, it suggests an opportunity to review assessment calibration, candidate qualification before testing, and post-assessment decision criteria.</a:t>
          </a:r>
          <a:br>
            <a:rPr lang="en-US"/>
          </a:br>
          <a:endParaRPr lang="en-US"/>
        </a:p>
        <a:p>
          <a:r>
            <a:rPr lang="en-US"/>
            <a:t>Candidate engagement also deserves attention. </a:t>
          </a:r>
          <a:r>
            <a:rPr lang="en-US" b="1"/>
            <a:t>No Response</a:t>
          </a:r>
          <a:r>
            <a:rPr lang="en-US"/>
            <a:t> is the most frequent rejection reason, indicating that improvements in sourcing outreach, follow-up cadence, and candidate nurturing could reduce early pipeline losses and increase overall hiring efficiency.</a:t>
          </a:r>
          <a:br>
            <a:rPr lang="en-US"/>
          </a:br>
          <a:endParaRPr lang="en-US"/>
        </a:p>
        <a:p>
          <a:r>
            <a:rPr lang="en-US"/>
            <a:t>The analysis also identified opportunities to strengthen </a:t>
          </a:r>
          <a:r>
            <a:rPr lang="en-US" i="1"/>
            <a:t>data quality</a:t>
          </a:r>
          <a:r>
            <a:rPr lang="en-US"/>
            <a:t>. Missing rejection reasons and assessment scores recorded before candidates reached those stages reduce analytical reliability and limit the development of trustworthy predictive models.</a:t>
          </a:r>
          <a:br>
            <a:rPr lang="en-US"/>
          </a:br>
          <a:endParaRPr lang="en-US"/>
        </a:p>
        <a:p>
          <a:r>
            <a:rPr lang="en-US"/>
            <a:t>Finally, AI proved valuable not only for accelerating analysis, but also for organizing qualitative recruiter notes, generating hypotheses, validating assumptions, and supporting more strategic decision-making. Looking ahead, AI could further enhance recruitment operations through personalized candidate outreach, automated nurturing journeys, follow-up prioritization, and recruiter decision support, allowing recruiters to focus more time on high-value interactions while improving candidate experience and process efficiency.</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34</xdr:col>
      <xdr:colOff>1458368</xdr:colOff>
      <xdr:row>0</xdr:row>
      <xdr:rowOff>44823</xdr:rowOff>
    </xdr:from>
    <xdr:to>
      <xdr:col>34</xdr:col>
      <xdr:colOff>2742187</xdr:colOff>
      <xdr:row>2</xdr:row>
      <xdr:rowOff>163217</xdr:rowOff>
    </xdr:to>
    <xdr:pic>
      <xdr:nvPicPr>
        <xdr:cNvPr id="4" name="Imagem 3">
          <a:extLst>
            <a:ext uri="{FF2B5EF4-FFF2-40B4-BE49-F238E27FC236}">
              <a16:creationId xmlns:a16="http://schemas.microsoft.com/office/drawing/2014/main" id="{35B09DA5-7A9D-4432-A24B-15DDCB24B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59662" y="44823"/>
          <a:ext cx="1283819" cy="506865"/>
        </a:xfrm>
        <a:prstGeom prst="rect">
          <a:avLst/>
        </a:prstGeom>
      </xdr:spPr>
    </xdr:pic>
    <xdr:clientData/>
  </xdr:twoCellAnchor>
  <xdr:twoCellAnchor editAs="oneCell">
    <xdr:from>
      <xdr:col>1</xdr:col>
      <xdr:colOff>1017707</xdr:colOff>
      <xdr:row>0</xdr:row>
      <xdr:rowOff>22412</xdr:rowOff>
    </xdr:from>
    <xdr:to>
      <xdr:col>1</xdr:col>
      <xdr:colOff>1486647</xdr:colOff>
      <xdr:row>2</xdr:row>
      <xdr:rowOff>95985</xdr:rowOff>
    </xdr:to>
    <xdr:pic>
      <xdr:nvPicPr>
        <xdr:cNvPr id="5" name="Gráfico 4" descr="Início estrutura de tópicos">
          <a:hlinkClick xmlns:r="http://schemas.openxmlformats.org/officeDocument/2006/relationships" r:id="rId2"/>
          <a:extLst>
            <a:ext uri="{FF2B5EF4-FFF2-40B4-BE49-F238E27FC236}">
              <a16:creationId xmlns:a16="http://schemas.microsoft.com/office/drawing/2014/main" id="{47298E7C-7D87-415B-91C6-D1ADC87D42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14178" y="22412"/>
          <a:ext cx="468940" cy="46204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ATA, LUANA" refreshedDate="46216.9065505787" createdVersion="8" refreshedVersion="8" minRefreshableVersion="3" recordCount="601" xr:uid="{9DEBFA26-1FAF-4902-875D-33853D2DD8B0}">
  <cacheSource type="worksheet">
    <worksheetSource name="candidatos"/>
  </cacheSource>
  <cacheFields count="35">
    <cacheField name="candidate_id" numFmtId="0">
      <sharedItems containsSemiMixedTypes="0" containsString="0" containsNumber="1" containsInteger="1" minValue="1" maxValue="601"/>
    </cacheField>
    <cacheField name="candidate_name" numFmtId="0">
      <sharedItems/>
    </cacheField>
    <cacheField name="candidate_email" numFmtId="0">
      <sharedItems/>
    </cacheField>
    <cacheField name="requisition_id" numFmtId="0">
      <sharedItems/>
    </cacheField>
    <cacheField name="role" numFmtId="0">
      <sharedItems count="4">
        <s v="Analista de Recrutamento"/>
        <s v="Talent Acquisition Specialist"/>
        <s v="Analista de Dados"/>
        <s v="People BP"/>
      </sharedItems>
    </cacheField>
    <cacheField name="department" numFmtId="0">
      <sharedItems/>
    </cacheField>
    <cacheField name="location" numFmtId="0">
      <sharedItems/>
    </cacheField>
    <cacheField name="work_mode" numFmtId="0">
      <sharedItems/>
    </cacheField>
    <cacheField name="seniority" numFmtId="0">
      <sharedItems count="4">
        <s v="Senior"/>
        <s v="Pleno"/>
        <s v="Junior"/>
        <s v="Staff"/>
      </sharedItems>
    </cacheField>
    <cacheField name="years_experience" numFmtId="0">
      <sharedItems containsSemiMixedTypes="0" containsString="0" containsNumber="1" minValue="0" maxValue="13.6" count="123">
        <n v="5.6"/>
        <n v="3.6"/>
        <n v="3.4"/>
        <n v="9.9"/>
        <n v="2.5"/>
        <n v="8.5"/>
        <n v="4.5"/>
        <n v="9.1999999999999993"/>
        <n v="5.4"/>
        <n v="6.4"/>
        <n v="8"/>
        <n v="6.2"/>
        <n v="8.6999999999999993"/>
        <n v="6"/>
        <n v="7"/>
        <n v="1.2"/>
        <n v="2.7"/>
        <n v="0"/>
        <n v="7.7"/>
        <n v="11.2"/>
        <n v="5.3"/>
        <n v="7.6"/>
        <n v="0.4"/>
        <n v="1.7"/>
        <n v="7.5"/>
        <n v="3.3"/>
        <n v="3.5"/>
        <n v="3.9"/>
        <n v="4.9000000000000004"/>
        <n v="0.8"/>
        <n v="1.6"/>
        <n v="9.3000000000000007"/>
        <n v="6.5"/>
        <n v="10.7"/>
        <n v="7.2"/>
        <n v="6.3"/>
        <n v="2.6"/>
        <n v="7.4"/>
        <n v="11"/>
        <n v="2.2000000000000002"/>
        <n v="9.6"/>
        <n v="4"/>
        <n v="1.3"/>
        <n v="6.9"/>
        <n v="8.9"/>
        <n v="9.4"/>
        <n v="5.2"/>
        <n v="6.8"/>
        <n v="6.1"/>
        <n v="2.8"/>
        <n v="4.3"/>
        <n v="10.4"/>
        <n v="3.7"/>
        <n v="4.7"/>
        <n v="7.3"/>
        <n v="10.1"/>
        <n v="5"/>
        <n v="2.9"/>
        <n v="3.1"/>
        <n v="4.8"/>
        <n v="7.9"/>
        <n v="5.0999999999999996"/>
        <n v="3.8"/>
        <n v="8.3000000000000007"/>
        <n v="6.6"/>
        <n v="5.9"/>
        <n v="8.1999999999999993"/>
        <n v="1.9"/>
        <n v="8.1"/>
        <n v="8.6"/>
        <n v="3.2"/>
        <n v="0.5"/>
        <n v="7.8"/>
        <n v="2.1"/>
        <n v="11.3"/>
        <n v="2.2999999999999998"/>
        <n v="5.8"/>
        <n v="9.6999999999999993"/>
        <n v="6.7"/>
        <n v="9.5"/>
        <n v="4.5999999999999996"/>
        <n v="5.7"/>
        <n v="9.1"/>
        <n v="13.6"/>
        <n v="1.8"/>
        <n v="3"/>
        <n v="1.5"/>
        <n v="7.1"/>
        <n v="4.4000000000000004"/>
        <n v="10.5"/>
        <n v="4.0999999999999996"/>
        <n v="10.3"/>
        <n v="0.3"/>
        <n v="0.6"/>
        <n v="10.199999999999999"/>
        <n v="10.6"/>
        <n v="9"/>
        <n v="0.7"/>
        <n v="8.8000000000000007"/>
        <n v="5.5"/>
        <n v="2"/>
        <n v="2.4"/>
        <n v="10.8"/>
        <n v="12"/>
        <n v="11.8"/>
        <n v="12.7"/>
        <n v="10.9"/>
        <n v="0.2"/>
        <n v="1.4"/>
        <n v="8.4"/>
        <n v="11.4"/>
        <n v="13.4"/>
        <n v="11.1"/>
        <n v="0.1"/>
        <n v="12.6"/>
        <n v="0.9"/>
        <n v="4.2"/>
        <n v="1"/>
        <n v="1.1000000000000001"/>
        <n v="11.9"/>
        <n v="11.6"/>
        <n v="9.8000000000000007"/>
        <n v="12.2"/>
      </sharedItems>
    </cacheField>
    <cacheField name="hiring_manager" numFmtId="0">
      <sharedItems/>
    </cacheField>
    <cacheField name="recruiter" numFmtId="0">
      <sharedItems count="6">
        <s v="Carla"/>
        <s v="Ana"/>
        <s v="Fernanda"/>
        <s v="Bruno"/>
        <s v="Gustavo"/>
        <s v="Diego"/>
      </sharedItems>
    </cacheField>
    <cacheField name="source_channel" numFmtId="0">
      <sharedItems count="8">
        <s v="Hunting"/>
        <s v="Comunidade"/>
        <s v="Banco de Talentos"/>
        <s v="Indicação"/>
        <s v="Evento"/>
        <s v="LinkedIn"/>
        <s v="Inbound"/>
        <s v="Github"/>
      </sharedItems>
    </cacheField>
    <cacheField name="decision_source" numFmtId="0">
      <sharedItems count="4">
        <s v="Hiring Manager"/>
        <s v="Recruiter"/>
        <s v="Tech Panel"/>
        <s v="TA Lead"/>
      </sharedItems>
    </cacheField>
    <cacheField name="sourced_date" numFmtId="164">
      <sharedItems containsSemiMixedTypes="0" containsNonDate="0" containsDate="1" containsString="0" minDate="2025-01-01T00:00:00" maxDate="2025-06-11T00:00:00"/>
    </cacheField>
    <cacheField name="first_contact_date" numFmtId="164">
      <sharedItems containsSemiMixedTypes="0" containsNonDate="0" containsDate="1" containsString="0" minDate="2025-01-01T00:00:00" maxDate="2025-06-09T00:00:00"/>
    </cacheField>
    <cacheField name="response_received" numFmtId="0">
      <sharedItems/>
    </cacheField>
    <cacheField name="response_time_days" numFmtId="0">
      <sharedItems containsString="0" containsBlank="1" containsNumber="1" containsInteger="1" minValue="-3" maxValue="12"/>
    </cacheField>
    <cacheField name="screening_pass" numFmtId="0">
      <sharedItems/>
    </cacheField>
    <cacheField name="screening_date" numFmtId="0">
      <sharedItems containsNonDate="0" containsDate="1" containsString="0" containsBlank="1" minDate="2025-01-05T00:00:00" maxDate="2025-06-09T00:00:00"/>
    </cacheField>
    <cacheField name="interview1_pass" numFmtId="0">
      <sharedItems/>
    </cacheField>
    <cacheField name="interview1_date" numFmtId="0">
      <sharedItems containsNonDate="0" containsDate="1" containsString="0" containsBlank="1" minDate="2025-01-13T00:00:00" maxDate="2025-06-22T00:00:00"/>
    </cacheField>
    <cacheField name="test_taken" numFmtId="0">
      <sharedItems/>
    </cacheField>
    <cacheField name="test_date" numFmtId="0">
      <sharedItems containsNonDate="0" containsDate="1" containsString="0" containsBlank="1" minDate="2025-01-19T00:00:00" maxDate="2025-06-25T00:00:00"/>
    </cacheField>
    <cacheField name="technical_test_score" numFmtId="0">
      <sharedItems containsSemiMixedTypes="0" containsString="0" containsNumber="1" containsInteger="1" minValue="31" maxValue="118"/>
    </cacheField>
    <cacheField name="behavior_score" numFmtId="0">
      <sharedItems containsSemiMixedTypes="0" containsString="0" containsNumber="1" containsInteger="1" minValue="12" maxValue="100"/>
    </cacheField>
    <cacheField name="manager_score" numFmtId="0">
      <sharedItems containsSemiMixedTypes="0" containsString="0" containsNumber="1" containsInteger="1" minValue="37" maxValue="104"/>
    </cacheField>
    <cacheField name="offer_sent" numFmtId="0">
      <sharedItems/>
    </cacheField>
    <cacheField name="offer_date" numFmtId="0">
      <sharedItems containsNonDate="0" containsDate="1" containsString="0" containsBlank="1" minDate="2025-01-27T00:00:00" maxDate="2025-06-28T00:00:00"/>
    </cacheField>
    <cacheField name="hired" numFmtId="0">
      <sharedItems count="2">
        <b v="0"/>
        <b v="1"/>
      </sharedItems>
    </cacheField>
    <cacheField name="hired_date" numFmtId="0">
      <sharedItems containsNonDate="0" containsDate="1" containsString="0" containsBlank="1" minDate="2025-02-02T00:00:00" maxDate="2025-07-03T00:00:00"/>
    </cacheField>
    <cacheField name="final_stage" numFmtId="0">
      <sharedItems count="7">
        <s v="Test"/>
        <s v="Sourced"/>
        <s v="Rejected"/>
        <s v="Interview"/>
        <s v="Hired"/>
        <s v="Screening"/>
        <s v="Offer"/>
      </sharedItems>
    </cacheField>
    <cacheField name="rejection_reason" numFmtId="0">
      <sharedItems containsBlank="1" count="10">
        <m/>
        <s v="No response"/>
        <s v="Salary mismatch"/>
        <s v="Failed technical test"/>
        <s v="Low technical fit"/>
        <s v="Accepted another offer"/>
        <s v="Low engagement"/>
        <s v="Culture add mismatch"/>
        <s v="Timing mismatch"/>
        <s v="Headcount closed"/>
      </sharedItems>
    </cacheField>
    <cacheField name="stage_duration_days" numFmtId="0">
      <sharedItems containsSemiMixedTypes="0" containsString="0" containsNumber="1" containsInteger="1" minValue="-7" maxValue="49"/>
    </cacheField>
    <cacheField name="recruiter_not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n v="1"/>
    <s v="Sr. Erick da Mota"/>
    <s v="bruna89@da.org"/>
    <s v="REQ-1037"/>
    <x v="0"/>
    <s v="Tech"/>
    <s v="Campinas"/>
    <s v="Presencial"/>
    <x v="0"/>
    <x v="0"/>
    <s v="Luiz Fernando"/>
    <x v="0"/>
    <x v="0"/>
    <x v="0"/>
    <d v="2025-03-02T00:00:00"/>
    <d v="2025-03-06T00:00:00"/>
    <b v="1"/>
    <n v="10"/>
    <b v="1"/>
    <d v="2025-03-13T00:00:00"/>
    <b v="1"/>
    <d v="2025-03-17T00:00:00"/>
    <b v="1"/>
    <d v="2025-03-23T00:00:00"/>
    <n v="83"/>
    <n v="66"/>
    <n v="75"/>
    <b v="0"/>
    <m/>
    <x v="0"/>
    <m/>
    <x v="0"/>
    <x v="0"/>
    <n v="21"/>
    <s v="Experiência sólida, mas expectativa salarial alta."/>
  </r>
  <r>
    <n v="2"/>
    <s v="Camila da Mota"/>
    <s v="rafaelmartins@gmail.com"/>
    <s v="REQ-1025"/>
    <x v="1"/>
    <s v="Tech"/>
    <s v="Campinas"/>
    <s v="Presencial"/>
    <x v="1"/>
    <x v="1"/>
    <s v="Benício"/>
    <x v="1"/>
    <x v="1"/>
    <x v="0"/>
    <d v="2025-05-24T00:00:00"/>
    <d v="2025-05-29T00:00:00"/>
    <b v="1"/>
    <n v="1"/>
    <b v="0"/>
    <m/>
    <b v="0"/>
    <m/>
    <b v="0"/>
    <m/>
    <n v="62"/>
    <n v="89"/>
    <n v="75"/>
    <b v="0"/>
    <m/>
    <x v="0"/>
    <m/>
    <x v="1"/>
    <x v="0"/>
    <n v="5"/>
    <s v="Perfil técnico acima da média."/>
  </r>
  <r>
    <n v="3"/>
    <s v="Stephany Ferreira"/>
    <s v="levida-mota@gmail.com"/>
    <s v="REQ-1015"/>
    <x v="2"/>
    <s v="People"/>
    <s v="Rio de Janeiro"/>
    <s v="Remoto"/>
    <x v="1"/>
    <x v="2"/>
    <s v="Davi"/>
    <x v="2"/>
    <x v="2"/>
    <x v="0"/>
    <d v="2025-04-14T00:00:00"/>
    <d v="2025-04-18T00:00:00"/>
    <b v="1"/>
    <n v="9"/>
    <b v="1"/>
    <d v="2025-04-19T00:00:00"/>
    <b v="1"/>
    <d v="2025-05-02T00:00:00"/>
    <b v="1"/>
    <d v="2025-05-08T00:00:00"/>
    <n v="73"/>
    <n v="55"/>
    <n v="48"/>
    <b v="0"/>
    <m/>
    <x v="0"/>
    <m/>
    <x v="0"/>
    <x v="1"/>
    <n v="24"/>
    <s v="Bom potencial de evolução."/>
  </r>
  <r>
    <n v="4"/>
    <s v="Samuel Pires"/>
    <s v="da-rosapietra@carvalho.com"/>
    <s v="REQ-1038"/>
    <x v="2"/>
    <s v="Data"/>
    <s v="Remote"/>
    <s v="Presencial"/>
    <x v="0"/>
    <x v="3"/>
    <s v="Davi Lucca"/>
    <x v="0"/>
    <x v="2"/>
    <x v="0"/>
    <d v="2025-05-16T00:00:00"/>
    <d v="2025-05-22T00:00:00"/>
    <b v="0"/>
    <m/>
    <b v="0"/>
    <m/>
    <b v="0"/>
    <m/>
    <b v="0"/>
    <m/>
    <n v="91"/>
    <n v="91"/>
    <n v="84"/>
    <b v="0"/>
    <m/>
    <x v="0"/>
    <m/>
    <x v="2"/>
    <x v="1"/>
    <n v="6"/>
    <s v="Pediu prazo adicional para retorno."/>
  </r>
  <r>
    <n v="5"/>
    <s v="Ana Júlia Teixeira"/>
    <s v="ana-luiza81@souza.com"/>
    <s v="REQ-1085"/>
    <x v="0"/>
    <s v="People"/>
    <s v="Remote"/>
    <s v="Presencial"/>
    <x v="2"/>
    <x v="4"/>
    <s v="Isabelly"/>
    <x v="1"/>
    <x v="2"/>
    <x v="1"/>
    <d v="2025-04-10T00:00:00"/>
    <d v="2025-04-11T00:00:00"/>
    <b v="0"/>
    <m/>
    <b v="0"/>
    <m/>
    <b v="0"/>
    <m/>
    <b v="0"/>
    <m/>
    <n v="89"/>
    <n v="81"/>
    <n v="84"/>
    <b v="0"/>
    <m/>
    <x v="0"/>
    <m/>
    <x v="2"/>
    <x v="1"/>
    <n v="1"/>
    <s v="Perfil técnico acima da média."/>
  </r>
  <r>
    <n v="6"/>
    <s v="Sophia Souza"/>
    <s v="isabellaribeiro@cunha.br"/>
    <s v="REQ-1073"/>
    <x v="2"/>
    <s v="People"/>
    <s v="Campinas"/>
    <s v="Híbrido"/>
    <x v="0"/>
    <x v="5"/>
    <s v="Sophia"/>
    <x v="3"/>
    <x v="3"/>
    <x v="2"/>
    <d v="2025-04-17T00:00:00"/>
    <d v="2025-04-17T00:00:00"/>
    <b v="0"/>
    <m/>
    <b v="0"/>
    <m/>
    <b v="0"/>
    <m/>
    <b v="0"/>
    <m/>
    <n v="81"/>
    <n v="88"/>
    <n v="91"/>
    <b v="0"/>
    <m/>
    <x v="0"/>
    <m/>
    <x v="2"/>
    <x v="1"/>
    <n v="0"/>
    <s v="Feedback positivo do gestor."/>
  </r>
  <r>
    <n v="7"/>
    <s v="Benjamin Sales"/>
    <s v="sabrina61@santos.br"/>
    <s v="REQ-1002"/>
    <x v="0"/>
    <s v="People"/>
    <s v="Curitiba"/>
    <s v="Presencial"/>
    <x v="1"/>
    <x v="6"/>
    <s v="Antônio"/>
    <x v="0"/>
    <x v="2"/>
    <x v="2"/>
    <d v="2025-01-28T00:00:00"/>
    <d v="2025-01-29T00:00:00"/>
    <b v="1"/>
    <n v="10"/>
    <b v="1"/>
    <d v="2025-02-05T00:00:00"/>
    <b v="1"/>
    <d v="2025-02-10T00:00:00"/>
    <b v="1"/>
    <d v="2025-02-17T00:00:00"/>
    <n v="69"/>
    <n v="65"/>
    <n v="73"/>
    <b v="0"/>
    <m/>
    <x v="0"/>
    <m/>
    <x v="0"/>
    <x v="0"/>
    <n v="20"/>
    <s v="Feedback positivo do gestor."/>
  </r>
  <r>
    <n v="8"/>
    <s v="Lorena Castro"/>
    <s v="emanuelly10@moraes.br"/>
    <s v="REQ-1087"/>
    <x v="3"/>
    <s v="Tech"/>
    <s v="Rio de Janeiro"/>
    <s v="Remoto"/>
    <x v="3"/>
    <x v="7"/>
    <s v="Carlos Eduardo"/>
    <x v="1"/>
    <x v="0"/>
    <x v="0"/>
    <d v="2025-05-03T00:00:00"/>
    <d v="2025-05-12T00:00:00"/>
    <b v="1"/>
    <n v="6"/>
    <b v="1"/>
    <d v="2025-05-17T00:00:00"/>
    <b v="1"/>
    <d v="2025-05-20T00:00:00"/>
    <b v="0"/>
    <m/>
    <n v="77"/>
    <n v="68"/>
    <n v="81"/>
    <b v="0"/>
    <m/>
    <x v="0"/>
    <m/>
    <x v="3"/>
    <x v="0"/>
    <n v="17"/>
    <s v="Feedback positivo do gestor."/>
  </r>
  <r>
    <n v="9"/>
    <s v="Benício Rocha"/>
    <s v="alveslucca@rezende.br"/>
    <s v="REQ-1079"/>
    <x v="3"/>
    <s v="People"/>
    <s v="Campinas"/>
    <s v="Remoto"/>
    <x v="0"/>
    <x v="8"/>
    <s v="Isabelly"/>
    <x v="3"/>
    <x v="3"/>
    <x v="0"/>
    <d v="2025-01-15T00:00:00"/>
    <d v="2025-01-15T00:00:00"/>
    <b v="1"/>
    <n v="11"/>
    <b v="0"/>
    <m/>
    <b v="0"/>
    <m/>
    <b v="0"/>
    <m/>
    <n v="94"/>
    <n v="87"/>
    <n v="100"/>
    <b v="0"/>
    <m/>
    <x v="0"/>
    <m/>
    <x v="1"/>
    <x v="0"/>
    <n v="0"/>
    <s v="Experiência sólida, mas expectativa salarial alta."/>
  </r>
  <r>
    <n v="10"/>
    <s v="Daniel Duarte"/>
    <s v="sophiacarvalho@hotmail.com"/>
    <s v="REQ-1079"/>
    <x v="2"/>
    <s v="Operations"/>
    <s v="São Paulo"/>
    <s v="Remoto"/>
    <x v="1"/>
    <x v="9"/>
    <s v="Bruna"/>
    <x v="4"/>
    <x v="4"/>
    <x v="3"/>
    <d v="2025-01-02T00:00:00"/>
    <d v="2025-01-08T00:00:00"/>
    <b v="1"/>
    <n v="6"/>
    <b v="0"/>
    <m/>
    <b v="0"/>
    <m/>
    <b v="0"/>
    <m/>
    <n v="77"/>
    <n v="54"/>
    <n v="61"/>
    <b v="0"/>
    <m/>
    <x v="0"/>
    <m/>
    <x v="1"/>
    <x v="2"/>
    <n v="6"/>
    <s v="Boa comunicação e resposta rápida."/>
  </r>
  <r>
    <n v="11"/>
    <s v="Antônio Barros"/>
    <s v="fpeixoto@cavalcanti.br"/>
    <s v="REQ-1069"/>
    <x v="3"/>
    <s v="Operations"/>
    <s v="Remote"/>
    <s v="Presencial"/>
    <x v="0"/>
    <x v="10"/>
    <s v="Isaac"/>
    <x v="3"/>
    <x v="5"/>
    <x v="3"/>
    <d v="2025-01-12T00:00:00"/>
    <d v="2025-01-15T00:00:00"/>
    <b v="1"/>
    <n v="11"/>
    <b v="1"/>
    <d v="2025-01-23T00:00:00"/>
    <b v="1"/>
    <d v="2025-02-03T00:00:00"/>
    <b v="1"/>
    <d v="2025-02-10T00:00:00"/>
    <n v="61"/>
    <n v="78"/>
    <n v="71"/>
    <b v="0"/>
    <m/>
    <x v="0"/>
    <m/>
    <x v="0"/>
    <x v="3"/>
    <n v="29"/>
    <s v="Pediu prazo adicional para retorno."/>
  </r>
  <r>
    <n v="12"/>
    <s v="Evelyn Viana"/>
    <s v="ana-vitoria30@bol.com.br"/>
    <s v="REQ-1082"/>
    <x v="1"/>
    <s v="People"/>
    <s v="Campinas"/>
    <s v="Remoto"/>
    <x v="0"/>
    <x v="11"/>
    <s v="Laís"/>
    <x v="4"/>
    <x v="6"/>
    <x v="1"/>
    <d v="2025-03-20T00:00:00"/>
    <d v="2025-03-20T00:00:00"/>
    <b v="0"/>
    <m/>
    <b v="0"/>
    <m/>
    <b v="0"/>
    <m/>
    <b v="0"/>
    <m/>
    <n v="67"/>
    <n v="66"/>
    <n v="70"/>
    <b v="0"/>
    <m/>
    <x v="0"/>
    <m/>
    <x v="2"/>
    <x v="1"/>
    <n v="0"/>
    <s v="Experiência sólida, mas expectativa salarial alta."/>
  </r>
  <r>
    <n v="13"/>
    <s v="Arthur Aragão"/>
    <s v="carvalhomarcela@silva.com"/>
    <s v="REQ-1067"/>
    <x v="0"/>
    <s v="Tech"/>
    <s v="Rio de Janeiro"/>
    <s v="Híbrido"/>
    <x v="0"/>
    <x v="12"/>
    <s v="Carolina"/>
    <x v="0"/>
    <x v="0"/>
    <x v="2"/>
    <d v="2025-05-07T00:00:00"/>
    <d v="2025-05-10T00:00:00"/>
    <b v="1"/>
    <n v="1"/>
    <b v="1"/>
    <d v="2025-05-17T00:00:00"/>
    <b v="1"/>
    <d v="2025-05-31T00:00:00"/>
    <b v="1"/>
    <d v="2025-06-02T00:00:00"/>
    <n v="76"/>
    <n v="78"/>
    <n v="74"/>
    <b v="1"/>
    <d v="2025-06-08T00:00:00"/>
    <x v="1"/>
    <d v="2025-06-16T00:00:00"/>
    <x v="4"/>
    <x v="0"/>
    <n v="40"/>
    <s v="Pontos fortes em execução e autonomia."/>
  </r>
  <r>
    <n v="14"/>
    <s v="Bárbara Cavalcanti"/>
    <s v="ana78@ig.com.br"/>
    <s v="REQ-1054"/>
    <x v="1"/>
    <s v="Tech"/>
    <s v="Belo Horizonte"/>
    <s v="Remoto"/>
    <x v="1"/>
    <x v="13"/>
    <s v="Stella"/>
    <x v="5"/>
    <x v="2"/>
    <x v="0"/>
    <d v="2025-03-08T00:00:00"/>
    <d v="2025-03-13T00:00:00"/>
    <b v="0"/>
    <m/>
    <b v="0"/>
    <m/>
    <b v="0"/>
    <m/>
    <b v="0"/>
    <m/>
    <n v="77"/>
    <n v="54"/>
    <n v="70"/>
    <b v="0"/>
    <m/>
    <x v="0"/>
    <m/>
    <x v="2"/>
    <x v="1"/>
    <n v="5"/>
    <s v="Pediu prazo adicional para retorno."/>
  </r>
  <r>
    <n v="15"/>
    <s v="Caroline Pereira"/>
    <s v="davi85@yahoo.com.br"/>
    <s v="REQ-1014"/>
    <x v="1"/>
    <s v="Operations"/>
    <s v="Rio de Janeiro"/>
    <s v="Remoto"/>
    <x v="0"/>
    <x v="14"/>
    <s v="Sofia"/>
    <x v="2"/>
    <x v="7"/>
    <x v="2"/>
    <d v="2025-04-25T00:00:00"/>
    <d v="2025-04-28T00:00:00"/>
    <b v="0"/>
    <m/>
    <b v="0"/>
    <m/>
    <b v="0"/>
    <m/>
    <b v="0"/>
    <m/>
    <n v="78"/>
    <n v="79"/>
    <n v="72"/>
    <b v="0"/>
    <m/>
    <x v="0"/>
    <m/>
    <x v="2"/>
    <x v="1"/>
    <n v="3"/>
    <s v="Perfil técnico acima da média."/>
  </r>
  <r>
    <n v="16"/>
    <s v="João Lucas Rocha"/>
    <s v="yfernandes@ig.com.br"/>
    <s v="REQ-1012"/>
    <x v="3"/>
    <s v="Data"/>
    <s v="Remote"/>
    <s v="Remoto"/>
    <x v="2"/>
    <x v="15"/>
    <s v="João Pedro"/>
    <x v="3"/>
    <x v="3"/>
    <x v="0"/>
    <d v="2025-05-11T00:00:00"/>
    <d v="2025-05-11T00:00:00"/>
    <b v="1"/>
    <n v="9"/>
    <b v="1"/>
    <d v="2025-05-13T00:00:00"/>
    <b v="0"/>
    <m/>
    <b v="0"/>
    <m/>
    <n v="66"/>
    <n v="56"/>
    <n v="61"/>
    <b v="0"/>
    <m/>
    <x v="0"/>
    <m/>
    <x v="5"/>
    <x v="4"/>
    <n v="2"/>
    <s v="Boa comunicação e resposta rápida."/>
  </r>
  <r>
    <n v="17"/>
    <s v="Dra. Gabriela Cardoso"/>
    <s v="da-conceicaoguilherme@yahoo.com.br"/>
    <s v="REQ-1024"/>
    <x v="1"/>
    <s v="Data"/>
    <s v="Rio de Janeiro"/>
    <s v="Presencial"/>
    <x v="1"/>
    <x v="16"/>
    <s v="Helena"/>
    <x v="4"/>
    <x v="0"/>
    <x v="1"/>
    <d v="2025-05-30T00:00:00"/>
    <d v="2025-06-02T00:00:00"/>
    <b v="0"/>
    <m/>
    <b v="0"/>
    <m/>
    <b v="0"/>
    <m/>
    <b v="0"/>
    <m/>
    <n v="66"/>
    <n v="58"/>
    <n v="66"/>
    <b v="0"/>
    <m/>
    <x v="0"/>
    <m/>
    <x v="2"/>
    <x v="1"/>
    <n v="3"/>
    <s v="Apresentou aderência forte ao contexto da vaga."/>
  </r>
  <r>
    <n v="18"/>
    <s v="Srta. Clara Caldeira"/>
    <s v="costelamarcelo@mendes.br"/>
    <s v="REQ-1068"/>
    <x v="3"/>
    <s v="Operations"/>
    <s v="Rio de Janeiro"/>
    <s v="Remoto"/>
    <x v="2"/>
    <x v="17"/>
    <s v="Stephany"/>
    <x v="2"/>
    <x v="6"/>
    <x v="3"/>
    <d v="2025-01-23T00:00:00"/>
    <d v="2025-01-23T00:00:00"/>
    <b v="1"/>
    <n v="10"/>
    <b v="1"/>
    <d v="2025-01-25T00:00:00"/>
    <b v="1"/>
    <d v="2025-02-01T00:00:00"/>
    <b v="1"/>
    <d v="2025-02-04T00:00:00"/>
    <n v="66"/>
    <n v="60"/>
    <n v="65"/>
    <b v="0"/>
    <m/>
    <x v="0"/>
    <m/>
    <x v="0"/>
    <x v="1"/>
    <n v="12"/>
    <s v="Perfil técnico acima da média."/>
  </r>
  <r>
    <n v="19"/>
    <s v="Sra. Ana Júlia Moreira"/>
    <s v="barrosana-sophia@ig.com.br"/>
    <s v="REQ-1094"/>
    <x v="3"/>
    <s v="Operations"/>
    <s v="Rio de Janeiro"/>
    <s v="Híbrido"/>
    <x v="3"/>
    <x v="7"/>
    <s v="Davi"/>
    <x v="3"/>
    <x v="1"/>
    <x v="3"/>
    <d v="2025-01-08T00:00:00"/>
    <d v="2025-01-15T00:00:00"/>
    <b v="1"/>
    <n v="8"/>
    <b v="1"/>
    <d v="2025-01-22T00:00:00"/>
    <b v="0"/>
    <m/>
    <b v="0"/>
    <m/>
    <n v="80"/>
    <n v="77"/>
    <n v="91"/>
    <b v="0"/>
    <m/>
    <x v="0"/>
    <m/>
    <x v="5"/>
    <x v="0"/>
    <n v="14"/>
    <s v="Baixa responsividade nas etapas iniciais."/>
  </r>
  <r>
    <n v="20"/>
    <s v="Juliana Teixeira"/>
    <s v="halmeida@nascimento.com"/>
    <s v="REQ-1082"/>
    <x v="3"/>
    <s v="Operations"/>
    <s v="Campinas"/>
    <s v="Presencial"/>
    <x v="3"/>
    <x v="18"/>
    <s v="Heitor"/>
    <x v="4"/>
    <x v="6"/>
    <x v="2"/>
    <d v="2025-03-27T00:00:00"/>
    <d v="2025-03-27T00:00:00"/>
    <b v="1"/>
    <n v="6"/>
    <b v="1"/>
    <d v="2025-04-04T00:00:00"/>
    <b v="1"/>
    <d v="2025-04-10T00:00:00"/>
    <b v="1"/>
    <d v="2025-04-19T00:00:00"/>
    <n v="80"/>
    <n v="81"/>
    <n v="78"/>
    <b v="1"/>
    <d v="2025-04-23T00:00:00"/>
    <x v="1"/>
    <d v="2025-05-02T00:00:00"/>
    <x v="4"/>
    <x v="0"/>
    <n v="36"/>
    <s v="Perfil técnico acima da média."/>
  </r>
  <r>
    <n v="21"/>
    <s v="Emanuella Fernandes"/>
    <s v="camposbryan@silva.com"/>
    <s v="REQ-1023"/>
    <x v="1"/>
    <s v="People"/>
    <s v="Campinas"/>
    <s v="Híbrido"/>
    <x v="3"/>
    <x v="19"/>
    <s v="Stephany"/>
    <x v="5"/>
    <x v="7"/>
    <x v="2"/>
    <d v="2025-05-24T00:00:00"/>
    <d v="2025-05-27T00:00:00"/>
    <b v="0"/>
    <m/>
    <b v="0"/>
    <m/>
    <b v="0"/>
    <m/>
    <b v="0"/>
    <m/>
    <n v="79"/>
    <n v="57"/>
    <n v="76"/>
    <b v="0"/>
    <m/>
    <x v="0"/>
    <m/>
    <x v="2"/>
    <x v="1"/>
    <n v="3"/>
    <s v="Pontos fortes em execução e autonomia."/>
  </r>
  <r>
    <n v="22"/>
    <s v="Sra. Cecília Viana"/>
    <s v="brenda33@uol.com.br"/>
    <s v="REQ-1092"/>
    <x v="3"/>
    <s v="Operations"/>
    <s v="Belo Horizonte"/>
    <s v="Híbrido"/>
    <x v="1"/>
    <x v="13"/>
    <s v="João Gabriel"/>
    <x v="1"/>
    <x v="3"/>
    <x v="0"/>
    <d v="2025-03-29T00:00:00"/>
    <d v="2025-03-31T00:00:00"/>
    <b v="1"/>
    <n v="12"/>
    <b v="1"/>
    <d v="2025-04-07T00:00:00"/>
    <b v="1"/>
    <d v="2025-04-12T00:00:00"/>
    <b v="1"/>
    <d v="2025-04-19T00:00:00"/>
    <n v="78"/>
    <n v="64"/>
    <n v="57"/>
    <b v="0"/>
    <m/>
    <x v="0"/>
    <m/>
    <x v="0"/>
    <x v="5"/>
    <n v="21"/>
    <s v="Apresentou aderência forte ao contexto da vaga."/>
  </r>
  <r>
    <n v="23"/>
    <s v="Maria Fernanda Nogueira"/>
    <s v="ncastro@melo.br"/>
    <s v="REQ-1031"/>
    <x v="3"/>
    <s v="Operations"/>
    <s v="Campinas"/>
    <s v="Híbrido"/>
    <x v="0"/>
    <x v="20"/>
    <s v="Isabelly"/>
    <x v="0"/>
    <x v="7"/>
    <x v="1"/>
    <d v="2025-01-27T00:00:00"/>
    <d v="2025-01-27T00:00:00"/>
    <b v="1"/>
    <n v="12"/>
    <b v="1"/>
    <d v="2025-02-04T00:00:00"/>
    <b v="1"/>
    <d v="2025-02-18T00:00:00"/>
    <b v="1"/>
    <d v="2025-02-20T00:00:00"/>
    <n v="73"/>
    <n v="81"/>
    <n v="76"/>
    <b v="1"/>
    <d v="2025-02-26T00:00:00"/>
    <x v="1"/>
    <d v="2025-03-04T00:00:00"/>
    <x v="4"/>
    <x v="0"/>
    <n v="36"/>
    <s v="Pediu prazo adicional para retorno."/>
  </r>
  <r>
    <n v="24"/>
    <s v="Caroline Santos"/>
    <s v="luiz-gustavomoraes@hotmail.com"/>
    <s v="REQ-1025"/>
    <x v="1"/>
    <s v="Data"/>
    <s v="Remote"/>
    <s v="Presencial"/>
    <x v="1"/>
    <x v="20"/>
    <s v="Luna"/>
    <x v="4"/>
    <x v="4"/>
    <x v="2"/>
    <d v="2025-02-23T00:00:00"/>
    <d v="2025-02-26T00:00:00"/>
    <b v="0"/>
    <m/>
    <b v="0"/>
    <m/>
    <b v="0"/>
    <m/>
    <b v="0"/>
    <m/>
    <n v="73"/>
    <n v="82"/>
    <n v="84"/>
    <b v="0"/>
    <m/>
    <x v="0"/>
    <m/>
    <x v="2"/>
    <x v="1"/>
    <n v="3"/>
    <s v="Pontos fortes em execução e autonomia."/>
  </r>
  <r>
    <n v="25"/>
    <s v="Sr. Francisco Souza"/>
    <s v="otavio73@ig.com.br"/>
    <s v="REQ-1068"/>
    <x v="0"/>
    <s v="Operations"/>
    <s v="Belo Horizonte"/>
    <s v="Presencial"/>
    <x v="0"/>
    <x v="21"/>
    <s v="Ian"/>
    <x v="2"/>
    <x v="3"/>
    <x v="2"/>
    <d v="2025-03-10T00:00:00"/>
    <d v="2025-03-12T00:00:00"/>
    <b v="1"/>
    <n v="2"/>
    <b v="0"/>
    <m/>
    <b v="0"/>
    <m/>
    <b v="0"/>
    <m/>
    <n v="83"/>
    <n v="98"/>
    <n v="94"/>
    <b v="0"/>
    <m/>
    <x v="0"/>
    <m/>
    <x v="1"/>
    <x v="5"/>
    <n v="2"/>
    <s v="Feedback positivo do gestor."/>
  </r>
  <r>
    <n v="26"/>
    <s v="Maria Sophia Campos"/>
    <s v="joao-felipe04@bol.com.br"/>
    <s v="REQ-1012"/>
    <x v="2"/>
    <s v="Tech"/>
    <s v="Rio de Janeiro"/>
    <s v="Remoto"/>
    <x v="2"/>
    <x v="22"/>
    <s v="Diogo"/>
    <x v="4"/>
    <x v="5"/>
    <x v="0"/>
    <d v="2025-03-19T00:00:00"/>
    <d v="2025-03-23T00:00:00"/>
    <b v="0"/>
    <m/>
    <b v="0"/>
    <m/>
    <b v="0"/>
    <m/>
    <b v="0"/>
    <m/>
    <n v="63"/>
    <n v="72"/>
    <n v="76"/>
    <b v="0"/>
    <m/>
    <x v="0"/>
    <m/>
    <x v="2"/>
    <x v="1"/>
    <n v="4"/>
    <s v="Perfil técnico acima da média."/>
  </r>
  <r>
    <n v="27"/>
    <s v="Manuela Souza"/>
    <s v="rcavalcanti@uol.com.br"/>
    <s v="REQ-1083"/>
    <x v="3"/>
    <s v="Operations"/>
    <s v="Rio de Janeiro"/>
    <s v="Remoto"/>
    <x v="2"/>
    <x v="23"/>
    <s v="Ana Beatriz"/>
    <x v="0"/>
    <x v="4"/>
    <x v="3"/>
    <d v="2025-02-21T00:00:00"/>
    <d v="2025-02-24T00:00:00"/>
    <b v="0"/>
    <m/>
    <b v="0"/>
    <m/>
    <b v="0"/>
    <m/>
    <b v="0"/>
    <m/>
    <n v="66"/>
    <n v="68"/>
    <n v="63"/>
    <b v="0"/>
    <m/>
    <x v="0"/>
    <m/>
    <x v="2"/>
    <x v="1"/>
    <n v="3"/>
    <s v="Experiência sólida, mas expectativa salarial alta."/>
  </r>
  <r>
    <n v="28"/>
    <s v="Dr. Luigi Nascimento"/>
    <s v="jnogueira@ferreira.com"/>
    <s v="REQ-1090"/>
    <x v="1"/>
    <s v="Operations"/>
    <s v="Campinas"/>
    <s v="Remoto"/>
    <x v="0"/>
    <x v="24"/>
    <s v="Evelyn"/>
    <x v="4"/>
    <x v="5"/>
    <x v="2"/>
    <d v="2025-02-11T00:00:00"/>
    <d v="2025-02-14T00:00:00"/>
    <b v="0"/>
    <m/>
    <b v="0"/>
    <m/>
    <b v="0"/>
    <m/>
    <b v="0"/>
    <m/>
    <n v="75"/>
    <n v="66"/>
    <n v="70"/>
    <b v="0"/>
    <m/>
    <x v="0"/>
    <m/>
    <x v="2"/>
    <x v="1"/>
    <n v="3"/>
    <s v="Bom potencial de evolução."/>
  </r>
  <r>
    <n v="29"/>
    <s v="Gustavo Henrique Pires"/>
    <s v="cardosoyago@yahoo.com.br"/>
    <s v="REQ-1048"/>
    <x v="2"/>
    <s v="People"/>
    <s v="São Paulo"/>
    <s v="Presencial"/>
    <x v="1"/>
    <x v="25"/>
    <s v="Juliana"/>
    <x v="2"/>
    <x v="1"/>
    <x v="3"/>
    <d v="2025-01-03T00:00:00"/>
    <d v="2025-01-04T00:00:00"/>
    <b v="1"/>
    <n v="5"/>
    <b v="1"/>
    <d v="2025-01-05T00:00:00"/>
    <b v="0"/>
    <m/>
    <b v="0"/>
    <m/>
    <n v="40"/>
    <n v="70"/>
    <n v="43"/>
    <b v="0"/>
    <m/>
    <x v="0"/>
    <m/>
    <x v="5"/>
    <x v="0"/>
    <n v="2"/>
    <s v="Bom potencial de evolução."/>
  </r>
  <r>
    <n v="30"/>
    <s v="Emanuelly Correia"/>
    <s v="gustavo17@ig.com.br"/>
    <s v="REQ-1037"/>
    <x v="2"/>
    <s v="People"/>
    <s v="São Paulo"/>
    <s v="Híbrido"/>
    <x v="2"/>
    <x v="26"/>
    <s v="Vinicius"/>
    <x v="5"/>
    <x v="6"/>
    <x v="3"/>
    <d v="2025-02-21T00:00:00"/>
    <d v="2025-02-21T00:00:00"/>
    <b v="1"/>
    <n v="12"/>
    <b v="1"/>
    <d v="2025-02-22T00:00:00"/>
    <b v="0"/>
    <m/>
    <b v="0"/>
    <m/>
    <n v="76"/>
    <n v="71"/>
    <n v="65"/>
    <b v="0"/>
    <m/>
    <x v="0"/>
    <m/>
    <x v="5"/>
    <x v="0"/>
    <n v="1"/>
    <s v="Apresentou aderência forte ao contexto da vaga."/>
  </r>
  <r>
    <n v="31"/>
    <s v="Benjamin Sales"/>
    <s v="theo14@hotmail.com"/>
    <s v="REQ-1070"/>
    <x v="1"/>
    <s v="Data"/>
    <s v="Campinas"/>
    <s v="Remoto"/>
    <x v="2"/>
    <x v="27"/>
    <s v="Gustavo Henrique"/>
    <x v="3"/>
    <x v="4"/>
    <x v="2"/>
    <d v="2025-05-09T00:00:00"/>
    <d v="2025-05-13T00:00:00"/>
    <b v="1"/>
    <n v="6"/>
    <b v="1"/>
    <d v="2025-05-22T00:00:00"/>
    <b v="0"/>
    <m/>
    <b v="0"/>
    <m/>
    <n v="71"/>
    <n v="82"/>
    <n v="86"/>
    <b v="0"/>
    <m/>
    <x v="0"/>
    <m/>
    <x v="5"/>
    <x v="6"/>
    <n v="13"/>
    <s v="Boa comunicação e resposta rápida."/>
  </r>
  <r>
    <n v="32"/>
    <s v="Dr. Samuel Araújo"/>
    <s v="silvaluana@uol.com.br"/>
    <s v="REQ-1079"/>
    <x v="1"/>
    <s v="People"/>
    <s v="Remote"/>
    <s v="Remoto"/>
    <x v="2"/>
    <x v="28"/>
    <s v="João Felipe"/>
    <x v="3"/>
    <x v="6"/>
    <x v="2"/>
    <d v="2025-05-06T00:00:00"/>
    <d v="2025-05-10T00:00:00"/>
    <b v="1"/>
    <n v="1"/>
    <b v="1"/>
    <d v="2025-05-13T00:00:00"/>
    <b v="1"/>
    <d v="2025-05-22T00:00:00"/>
    <b v="1"/>
    <d v="2025-05-24T00:00:00"/>
    <n v="57"/>
    <n v="74"/>
    <n v="66"/>
    <b v="0"/>
    <m/>
    <x v="0"/>
    <m/>
    <x v="0"/>
    <x v="0"/>
    <n v="18"/>
    <s v="Experiência sólida, mas expectativa salarial alta."/>
  </r>
  <r>
    <n v="33"/>
    <s v="Thiago Azevedo"/>
    <s v="pereiraaugusto@gmail.com"/>
    <s v="REQ-1045"/>
    <x v="2"/>
    <s v="Tech"/>
    <s v="Campinas"/>
    <s v="Híbrido"/>
    <x v="2"/>
    <x v="29"/>
    <s v="Lucas Gabriel"/>
    <x v="1"/>
    <x v="4"/>
    <x v="3"/>
    <d v="2025-04-18T00:00:00"/>
    <d v="2025-04-18T00:00:00"/>
    <b v="0"/>
    <m/>
    <b v="0"/>
    <m/>
    <b v="0"/>
    <m/>
    <b v="0"/>
    <m/>
    <n v="60"/>
    <n v="84"/>
    <n v="66"/>
    <b v="0"/>
    <m/>
    <x v="0"/>
    <m/>
    <x v="2"/>
    <x v="1"/>
    <n v="0"/>
    <s v="Demonstrou interesse claro na oportunidade."/>
  </r>
  <r>
    <n v="34"/>
    <s v="Thiago Moraes"/>
    <s v="zfreitas@bol.com.br"/>
    <s v="REQ-1040"/>
    <x v="0"/>
    <s v="People"/>
    <s v="Rio de Janeiro"/>
    <s v="Presencial"/>
    <x v="2"/>
    <x v="17"/>
    <s v="Benício"/>
    <x v="4"/>
    <x v="7"/>
    <x v="0"/>
    <d v="2025-04-29T00:00:00"/>
    <d v="2025-04-29T00:00:00"/>
    <b v="1"/>
    <n v="3"/>
    <b v="1"/>
    <d v="2025-05-02T00:00:00"/>
    <b v="1"/>
    <d v="2025-05-06T00:00:00"/>
    <b v="1"/>
    <d v="2025-05-15T00:00:00"/>
    <n v="75"/>
    <n v="87"/>
    <n v="92"/>
    <b v="1"/>
    <d v="2025-05-19T00:00:00"/>
    <x v="1"/>
    <d v="2025-05-28T00:00:00"/>
    <x v="4"/>
    <x v="0"/>
    <n v="29"/>
    <s v="Baixa responsividade nas etapas iniciais."/>
  </r>
  <r>
    <n v="35"/>
    <s v="Luiz Gustavo Moreira"/>
    <s v="da-cunhajoao-gabriel@freitas.com"/>
    <s v="REQ-1006"/>
    <x v="0"/>
    <s v="Tech"/>
    <s v="Rio de Janeiro"/>
    <s v="Híbrido"/>
    <x v="0"/>
    <x v="11"/>
    <s v="Davi Lucas"/>
    <x v="3"/>
    <x v="0"/>
    <x v="2"/>
    <d v="2025-04-05T00:00:00"/>
    <d v="2025-04-10T00:00:00"/>
    <b v="0"/>
    <m/>
    <b v="0"/>
    <m/>
    <b v="0"/>
    <m/>
    <b v="0"/>
    <m/>
    <n v="98"/>
    <n v="90"/>
    <n v="84"/>
    <b v="0"/>
    <m/>
    <x v="0"/>
    <m/>
    <x v="2"/>
    <x v="1"/>
    <n v="5"/>
    <s v="Boa comunicação e resposta rápida."/>
  </r>
  <r>
    <n v="36"/>
    <s v="Maria Alice Carvalho"/>
    <s v="luiza77@correia.br"/>
    <s v="REQ-1007"/>
    <x v="3"/>
    <s v="People"/>
    <s v="Rio de Janeiro"/>
    <s v="Remoto"/>
    <x v="1"/>
    <x v="26"/>
    <s v="Olivia"/>
    <x v="5"/>
    <x v="6"/>
    <x v="1"/>
    <d v="2025-01-12T00:00:00"/>
    <d v="2025-01-12T00:00:00"/>
    <b v="1"/>
    <n v="8"/>
    <b v="0"/>
    <m/>
    <b v="0"/>
    <m/>
    <b v="0"/>
    <m/>
    <n v="55"/>
    <n v="92"/>
    <n v="79"/>
    <b v="0"/>
    <m/>
    <x v="0"/>
    <m/>
    <x v="1"/>
    <x v="5"/>
    <n v="0"/>
    <s v="Feedback positivo do gestor."/>
  </r>
  <r>
    <n v="37"/>
    <s v="Rebeca Oliveira"/>
    <s v="mourajoaquim@gmail.com"/>
    <s v="REQ-1071"/>
    <x v="1"/>
    <s v="People"/>
    <s v="Rio de Janeiro"/>
    <s v="Remoto"/>
    <x v="1"/>
    <x v="20"/>
    <s v="Nicole"/>
    <x v="1"/>
    <x v="1"/>
    <x v="2"/>
    <d v="2025-04-30T00:00:00"/>
    <d v="2025-04-30T00:00:00"/>
    <b v="1"/>
    <n v="11"/>
    <b v="1"/>
    <d v="2025-05-09T00:00:00"/>
    <b v="0"/>
    <m/>
    <b v="0"/>
    <m/>
    <n v="45"/>
    <n v="75"/>
    <n v="45"/>
    <b v="0"/>
    <m/>
    <x v="0"/>
    <m/>
    <x v="5"/>
    <x v="0"/>
    <n v="9"/>
    <s v="Feedback positivo do gestor."/>
  </r>
  <r>
    <n v="38"/>
    <s v="Daniela Gomes"/>
    <s v="rafael75@ig.com.br"/>
    <s v="REQ-1068"/>
    <x v="1"/>
    <s v="Data"/>
    <s v="Curitiba"/>
    <s v="Remoto"/>
    <x v="1"/>
    <x v="20"/>
    <s v="Luiza"/>
    <x v="3"/>
    <x v="2"/>
    <x v="1"/>
    <d v="2025-05-15T00:00:00"/>
    <d v="2025-05-15T00:00:00"/>
    <b v="1"/>
    <n v="4"/>
    <b v="0"/>
    <m/>
    <b v="0"/>
    <m/>
    <b v="0"/>
    <m/>
    <n v="72"/>
    <n v="65"/>
    <n v="59"/>
    <b v="0"/>
    <m/>
    <x v="0"/>
    <m/>
    <x v="1"/>
    <x v="7"/>
    <n v="0"/>
    <s v="Demonstrou interesse claro na oportunidade."/>
  </r>
  <r>
    <n v="39"/>
    <s v="Antônio Barbosa"/>
    <s v="sophiearaujo@carvalho.net"/>
    <s v="REQ-1029"/>
    <x v="2"/>
    <s v="People"/>
    <s v="Remote"/>
    <s v="Híbrido"/>
    <x v="1"/>
    <x v="30"/>
    <s v="Pedro Lucas"/>
    <x v="5"/>
    <x v="0"/>
    <x v="1"/>
    <d v="2025-05-25T00:00:00"/>
    <d v="2025-05-25T00:00:00"/>
    <b v="1"/>
    <n v="9"/>
    <b v="1"/>
    <d v="2025-06-01T00:00:00"/>
    <b v="1"/>
    <d v="2025-06-09T00:00:00"/>
    <b v="1"/>
    <d v="2025-06-15T00:00:00"/>
    <n v="73"/>
    <n v="71"/>
    <n v="74"/>
    <b v="1"/>
    <d v="2025-06-17T00:00:00"/>
    <x v="1"/>
    <d v="2025-06-27T00:00:00"/>
    <x v="4"/>
    <x v="0"/>
    <n v="33"/>
    <s v="Experiência sólida, mas expectativa salarial alta."/>
  </r>
  <r>
    <n v="40"/>
    <s v="Dra. Lara Dias"/>
    <s v="paulomelo@hotmail.com"/>
    <s v="REQ-1001"/>
    <x v="1"/>
    <s v="People"/>
    <s v="Remote"/>
    <s v="Híbrido"/>
    <x v="3"/>
    <x v="31"/>
    <s v="Natália"/>
    <x v="5"/>
    <x v="2"/>
    <x v="3"/>
    <d v="2025-05-29T00:00:00"/>
    <d v="2025-05-29T00:00:00"/>
    <b v="1"/>
    <n v="8"/>
    <b v="0"/>
    <m/>
    <b v="0"/>
    <m/>
    <b v="0"/>
    <m/>
    <n v="66"/>
    <n v="93"/>
    <n v="72"/>
    <b v="0"/>
    <m/>
    <x v="0"/>
    <m/>
    <x v="1"/>
    <x v="0"/>
    <n v="0"/>
    <s v="Baixa responsividade nas etapas iniciais."/>
  </r>
  <r>
    <n v="41"/>
    <s v="Pedro Melo"/>
    <s v="zda-mata@uol.com.br"/>
    <s v="REQ-1026"/>
    <x v="2"/>
    <s v="People"/>
    <s v="Campinas"/>
    <s v="Híbrido"/>
    <x v="0"/>
    <x v="32"/>
    <s v="Sarah"/>
    <x v="4"/>
    <x v="4"/>
    <x v="0"/>
    <d v="2025-05-10T00:00:00"/>
    <d v="2025-05-10T00:00:00"/>
    <b v="1"/>
    <n v="0"/>
    <b v="0"/>
    <m/>
    <b v="0"/>
    <m/>
    <b v="0"/>
    <m/>
    <n v="100"/>
    <n v="100"/>
    <n v="96"/>
    <b v="0"/>
    <m/>
    <x v="0"/>
    <m/>
    <x v="1"/>
    <x v="0"/>
    <n v="0"/>
    <s v="Bom potencial de evolução."/>
  </r>
  <r>
    <n v="42"/>
    <s v="Diego Araújo"/>
    <s v="da-cunhaarthur@rodrigues.org"/>
    <s v="REQ-1066"/>
    <x v="3"/>
    <s v="People"/>
    <s v="Rio de Janeiro"/>
    <s v="Híbrido"/>
    <x v="3"/>
    <x v="33"/>
    <s v="Alice"/>
    <x v="3"/>
    <x v="1"/>
    <x v="3"/>
    <d v="2025-02-06T00:00:00"/>
    <d v="2025-02-06T00:00:00"/>
    <b v="0"/>
    <m/>
    <b v="0"/>
    <m/>
    <b v="0"/>
    <m/>
    <b v="0"/>
    <m/>
    <n v="55"/>
    <n v="79"/>
    <n v="69"/>
    <b v="0"/>
    <m/>
    <x v="0"/>
    <m/>
    <x v="2"/>
    <x v="1"/>
    <n v="0"/>
    <s v="Pediu prazo adicional para retorno."/>
  </r>
  <r>
    <n v="43"/>
    <s v="Maitê Carvalho"/>
    <s v="gviana@bol.com.br"/>
    <s v="REQ-1064"/>
    <x v="1"/>
    <s v="People"/>
    <s v="Remote"/>
    <s v="Híbrido"/>
    <x v="0"/>
    <x v="34"/>
    <s v="Helena"/>
    <x v="1"/>
    <x v="1"/>
    <x v="0"/>
    <d v="2025-01-28T00:00:00"/>
    <d v="2025-02-02T00:00:00"/>
    <b v="0"/>
    <m/>
    <b v="0"/>
    <m/>
    <b v="0"/>
    <m/>
    <b v="0"/>
    <m/>
    <n v="73"/>
    <n v="81"/>
    <n v="78"/>
    <b v="0"/>
    <m/>
    <x v="0"/>
    <m/>
    <x v="2"/>
    <x v="1"/>
    <n v="5"/>
    <s v="Baixa responsividade nas etapas iniciais."/>
  </r>
  <r>
    <n v="44"/>
    <s v="Daniel Moura"/>
    <s v="emanuelda-cruz@bol.com.br"/>
    <s v="REQ-1036"/>
    <x v="1"/>
    <s v="Operations"/>
    <s v="Belo Horizonte"/>
    <s v="Presencial"/>
    <x v="1"/>
    <x v="35"/>
    <s v="Bianca"/>
    <x v="4"/>
    <x v="2"/>
    <x v="2"/>
    <d v="2025-04-27T00:00:00"/>
    <d v="2025-04-27T00:00:00"/>
    <b v="1"/>
    <n v="4"/>
    <b v="1"/>
    <d v="2025-05-01T00:00:00"/>
    <b v="1"/>
    <d v="2025-05-11T00:00:00"/>
    <b v="1"/>
    <d v="2025-05-18T00:00:00"/>
    <n v="92"/>
    <n v="57"/>
    <n v="78"/>
    <b v="0"/>
    <m/>
    <x v="0"/>
    <m/>
    <x v="0"/>
    <x v="1"/>
    <n v="21"/>
    <s v="Apresentou aderência forte ao contexto da vaga."/>
  </r>
  <r>
    <n v="45"/>
    <s v="Carlos Eduardo Moura"/>
    <s v="da-cruznathan@yahoo.com.br"/>
    <s v="REQ-1007"/>
    <x v="2"/>
    <s v="Operations"/>
    <s v="Curitiba"/>
    <s v="Híbrido"/>
    <x v="2"/>
    <x v="36"/>
    <s v="Luiz Otávio"/>
    <x v="2"/>
    <x v="0"/>
    <x v="1"/>
    <d v="2025-04-27T00:00:00"/>
    <d v="2025-04-29T00:00:00"/>
    <b v="1"/>
    <n v="11"/>
    <b v="1"/>
    <d v="2025-05-09T00:00:00"/>
    <b v="1"/>
    <d v="2025-05-11T00:00:00"/>
    <b v="0"/>
    <m/>
    <n v="56"/>
    <n v="57"/>
    <n v="52"/>
    <b v="0"/>
    <m/>
    <x v="0"/>
    <m/>
    <x v="3"/>
    <x v="3"/>
    <n v="14"/>
    <s v="Apresentou aderência forte ao contexto da vaga."/>
  </r>
  <r>
    <n v="46"/>
    <s v="Juan Fernandes"/>
    <s v="maitealmeida@bol.com.br"/>
    <s v="REQ-1021"/>
    <x v="3"/>
    <s v="Tech"/>
    <s v="Remote"/>
    <s v="Remoto"/>
    <x v="1"/>
    <x v="37"/>
    <s v="Ana Luiza"/>
    <x v="1"/>
    <x v="4"/>
    <x v="2"/>
    <d v="2025-03-05T00:00:00"/>
    <d v="2025-03-08T00:00:00"/>
    <b v="1"/>
    <n v="0"/>
    <b v="1"/>
    <d v="2025-03-14T00:00:00"/>
    <b v="1"/>
    <d v="2025-03-26T00:00:00"/>
    <b v="1"/>
    <d v="2025-03-28T00:00:00"/>
    <n v="72"/>
    <n v="86"/>
    <n v="72"/>
    <b v="1"/>
    <d v="2025-04-04T00:00:00"/>
    <x v="1"/>
    <d v="2025-04-15T00:00:00"/>
    <x v="4"/>
    <x v="0"/>
    <n v="41"/>
    <s v="Demonstrou interesse claro na oportunidade."/>
  </r>
  <r>
    <n v="47"/>
    <s v="Nina da Mata"/>
    <s v="pintoluna@da.br"/>
    <s v="REQ-1033"/>
    <x v="2"/>
    <s v="Operations"/>
    <s v="Belo Horizonte"/>
    <s v="Presencial"/>
    <x v="3"/>
    <x v="38"/>
    <s v="Marcela"/>
    <x v="2"/>
    <x v="7"/>
    <x v="0"/>
    <d v="2025-03-13T00:00:00"/>
    <d v="2025-03-17T00:00:00"/>
    <b v="1"/>
    <n v="10"/>
    <b v="0"/>
    <m/>
    <b v="0"/>
    <m/>
    <b v="0"/>
    <m/>
    <n v="63"/>
    <n v="88"/>
    <n v="88"/>
    <b v="0"/>
    <m/>
    <x v="0"/>
    <m/>
    <x v="1"/>
    <x v="0"/>
    <n v="4"/>
    <s v="Pontos fortes em execução e autonomia."/>
  </r>
  <r>
    <n v="48"/>
    <s v="Henrique Cavalcanti"/>
    <s v="leandro97@hotmail.com"/>
    <s v="REQ-1017"/>
    <x v="2"/>
    <s v="Data"/>
    <s v="São Paulo"/>
    <s v="Presencial"/>
    <x v="2"/>
    <x v="39"/>
    <s v="Francisco"/>
    <x v="4"/>
    <x v="2"/>
    <x v="0"/>
    <d v="2025-05-01T00:00:00"/>
    <d v="2025-05-01T00:00:00"/>
    <b v="1"/>
    <n v="3"/>
    <b v="1"/>
    <d v="2025-05-03T00:00:00"/>
    <b v="1"/>
    <d v="2025-05-06T00:00:00"/>
    <b v="1"/>
    <d v="2025-05-16T00:00:00"/>
    <n v="67"/>
    <n v="69"/>
    <n v="75"/>
    <b v="0"/>
    <m/>
    <x v="0"/>
    <m/>
    <x v="0"/>
    <x v="4"/>
    <n v="15"/>
    <s v="Apresentou aderência forte ao contexto da vaga."/>
  </r>
  <r>
    <n v="49"/>
    <s v="Rodrigo Novaes"/>
    <s v="maria-ceciliaaraujo@silva.com"/>
    <s v="REQ-1011"/>
    <x v="2"/>
    <s v="Tech"/>
    <s v="Curitiba"/>
    <s v="Presencial"/>
    <x v="0"/>
    <x v="40"/>
    <s v="Fernanda"/>
    <x v="0"/>
    <x v="0"/>
    <x v="1"/>
    <d v="2025-02-16T00:00:00"/>
    <d v="2025-02-18T00:00:00"/>
    <b v="1"/>
    <n v="4"/>
    <b v="1"/>
    <d v="2025-02-20T00:00:00"/>
    <b v="1"/>
    <d v="2025-02-24T00:00:00"/>
    <b v="1"/>
    <d v="2025-02-26T00:00:00"/>
    <n v="89"/>
    <n v="62"/>
    <n v="71"/>
    <b v="0"/>
    <m/>
    <x v="0"/>
    <m/>
    <x v="0"/>
    <x v="0"/>
    <n v="10"/>
    <s v="Pontos fortes em execução e autonomia."/>
  </r>
  <r>
    <n v="50"/>
    <s v="Kaique Correia"/>
    <s v="lais23@ig.com.br"/>
    <s v="REQ-1032"/>
    <x v="3"/>
    <s v="Operations"/>
    <s v="Curitiba"/>
    <s v="Híbrido"/>
    <x v="1"/>
    <x v="41"/>
    <s v="Guilherme"/>
    <x v="5"/>
    <x v="1"/>
    <x v="1"/>
    <d v="2025-05-28T00:00:00"/>
    <d v="2025-05-28T00:00:00"/>
    <b v="0"/>
    <m/>
    <b v="0"/>
    <m/>
    <b v="0"/>
    <m/>
    <b v="0"/>
    <m/>
    <n v="89"/>
    <n v="69"/>
    <n v="94"/>
    <b v="0"/>
    <m/>
    <x v="0"/>
    <m/>
    <x v="2"/>
    <x v="1"/>
    <n v="0"/>
    <s v="Perfil técnico acima da média."/>
  </r>
  <r>
    <n v="51"/>
    <s v="Yago Sales"/>
    <s v="kamilly83@nunes.br"/>
    <s v="REQ-1074"/>
    <x v="3"/>
    <s v="People"/>
    <s v="Rio de Janeiro"/>
    <s v="Híbrido"/>
    <x v="0"/>
    <x v="34"/>
    <s v="Emanuella"/>
    <x v="5"/>
    <x v="1"/>
    <x v="2"/>
    <d v="2025-03-23T00:00:00"/>
    <d v="2025-03-23T00:00:00"/>
    <b v="1"/>
    <n v="2"/>
    <b v="0"/>
    <m/>
    <b v="0"/>
    <m/>
    <b v="0"/>
    <m/>
    <n v="67"/>
    <n v="70"/>
    <n v="75"/>
    <b v="0"/>
    <m/>
    <x v="0"/>
    <m/>
    <x v="1"/>
    <x v="4"/>
    <n v="0"/>
    <s v="Bom potencial de evolução."/>
  </r>
  <r>
    <n v="52"/>
    <s v="Alice da Paz"/>
    <s v="da-rochayuri@correia.com"/>
    <s v="REQ-1015"/>
    <x v="1"/>
    <s v="Data"/>
    <s v="São Paulo"/>
    <s v="Remoto"/>
    <x v="2"/>
    <x v="2"/>
    <s v="Marina"/>
    <x v="1"/>
    <x v="5"/>
    <x v="2"/>
    <d v="2025-03-14T00:00:00"/>
    <d v="2025-03-17T00:00:00"/>
    <b v="1"/>
    <n v="4"/>
    <b v="1"/>
    <d v="2025-03-20T00:00:00"/>
    <b v="0"/>
    <m/>
    <b v="0"/>
    <m/>
    <n v="88"/>
    <n v="79"/>
    <n v="90"/>
    <b v="0"/>
    <m/>
    <x v="0"/>
    <m/>
    <x v="5"/>
    <x v="8"/>
    <n v="6"/>
    <s v="Boa comunicação e resposta rápida."/>
  </r>
  <r>
    <n v="53"/>
    <s v="Luiz Miguel Moraes"/>
    <s v="otavioporto@campos.com"/>
    <s v="REQ-1069"/>
    <x v="0"/>
    <s v="Data"/>
    <s v="Curitiba"/>
    <s v="Remoto"/>
    <x v="2"/>
    <x v="42"/>
    <s v="Gabriela"/>
    <x v="0"/>
    <x v="1"/>
    <x v="1"/>
    <d v="2025-03-26T00:00:00"/>
    <d v="2025-03-30T00:00:00"/>
    <b v="0"/>
    <m/>
    <b v="0"/>
    <m/>
    <b v="0"/>
    <m/>
    <b v="0"/>
    <m/>
    <n v="83"/>
    <n v="63"/>
    <n v="69"/>
    <b v="0"/>
    <m/>
    <x v="0"/>
    <m/>
    <x v="2"/>
    <x v="1"/>
    <n v="4"/>
    <s v="Boa comunicação e resposta rápida."/>
  </r>
  <r>
    <n v="54"/>
    <s v="Stephany Fogaça"/>
    <s v="gustavo83@ig.com.br"/>
    <s v="REQ-1004"/>
    <x v="3"/>
    <s v="Operations"/>
    <s v="Rio de Janeiro"/>
    <s v="Híbrido"/>
    <x v="0"/>
    <x v="43"/>
    <s v="Alexandre"/>
    <x v="2"/>
    <x v="7"/>
    <x v="0"/>
    <d v="2025-04-29T00:00:00"/>
    <d v="2025-05-06T00:00:00"/>
    <b v="1"/>
    <n v="1"/>
    <b v="1"/>
    <d v="2025-05-08T00:00:00"/>
    <b v="1"/>
    <d v="2025-05-18T00:00:00"/>
    <b v="1"/>
    <d v="2025-05-27T00:00:00"/>
    <n v="70"/>
    <n v="87"/>
    <n v="78"/>
    <b v="0"/>
    <m/>
    <x v="0"/>
    <m/>
    <x v="0"/>
    <x v="0"/>
    <n v="28"/>
    <s v="Experiência sólida, mas expectativa salarial alta."/>
  </r>
  <r>
    <n v="55"/>
    <s v="Juan Ramos"/>
    <s v="xfernandes@ig.com.br"/>
    <s v="REQ-1095"/>
    <x v="1"/>
    <s v="People"/>
    <s v="Curitiba"/>
    <s v="Remoto"/>
    <x v="0"/>
    <x v="44"/>
    <s v="Ana Vitória"/>
    <x v="0"/>
    <x v="3"/>
    <x v="1"/>
    <d v="2025-03-21T00:00:00"/>
    <d v="2025-03-23T00:00:00"/>
    <b v="1"/>
    <n v="0"/>
    <b v="1"/>
    <d v="2025-03-30T00:00:00"/>
    <b v="0"/>
    <m/>
    <b v="0"/>
    <m/>
    <n v="76"/>
    <n v="98"/>
    <n v="71"/>
    <b v="0"/>
    <m/>
    <x v="0"/>
    <m/>
    <x v="5"/>
    <x v="3"/>
    <n v="9"/>
    <s v="Baixa responsividade nas etapas iniciais."/>
  </r>
  <r>
    <n v="56"/>
    <s v="Cauã Dias"/>
    <s v="souzalavinia@gmail.com"/>
    <s v="REQ-1091"/>
    <x v="3"/>
    <s v="Data"/>
    <s v="Remote"/>
    <s v="Remoto"/>
    <x v="0"/>
    <x v="45"/>
    <s v="Maria Fernanda"/>
    <x v="3"/>
    <x v="7"/>
    <x v="1"/>
    <d v="2025-03-29T00:00:00"/>
    <d v="2025-03-29T00:00:00"/>
    <b v="1"/>
    <n v="6"/>
    <b v="1"/>
    <d v="2025-03-30T00:00:00"/>
    <b v="1"/>
    <d v="2025-04-06T00:00:00"/>
    <b v="1"/>
    <d v="2025-04-11T00:00:00"/>
    <n v="75"/>
    <n v="85"/>
    <n v="100"/>
    <b v="1"/>
    <d v="2025-04-14T00:00:00"/>
    <x v="1"/>
    <d v="2025-04-23T00:00:00"/>
    <x v="4"/>
    <x v="0"/>
    <n v="25"/>
    <s v="Demonstrou interesse claro na oportunidade."/>
  </r>
  <r>
    <n v="57"/>
    <s v="Caio Pires"/>
    <s v="ana-julialopes@gmail.com"/>
    <s v="REQ-1003"/>
    <x v="0"/>
    <s v="Tech"/>
    <s v="Rio de Janeiro"/>
    <s v="Presencial"/>
    <x v="1"/>
    <x v="46"/>
    <s v="Otávio"/>
    <x v="1"/>
    <x v="5"/>
    <x v="0"/>
    <d v="2025-01-16T00:00:00"/>
    <d v="2025-01-21T00:00:00"/>
    <b v="1"/>
    <n v="6"/>
    <b v="1"/>
    <d v="2025-01-28T00:00:00"/>
    <b v="1"/>
    <d v="2025-02-09T00:00:00"/>
    <b v="0"/>
    <m/>
    <n v="77"/>
    <n v="63"/>
    <n v="66"/>
    <b v="0"/>
    <m/>
    <x v="0"/>
    <m/>
    <x v="3"/>
    <x v="0"/>
    <n v="24"/>
    <s v="Experiência sólida, mas expectativa salarial alta."/>
  </r>
  <r>
    <n v="58"/>
    <s v="Kevin Lopes"/>
    <s v="benicio44@yahoo.com.br"/>
    <s v="REQ-1017"/>
    <x v="0"/>
    <s v="Operations"/>
    <s v="Belo Horizonte"/>
    <s v="Remoto"/>
    <x v="0"/>
    <x v="47"/>
    <s v="Benício"/>
    <x v="2"/>
    <x v="1"/>
    <x v="0"/>
    <d v="2025-05-31T00:00:00"/>
    <d v="2025-06-04T00:00:00"/>
    <b v="1"/>
    <n v="9"/>
    <b v="1"/>
    <d v="2025-06-06T00:00:00"/>
    <b v="0"/>
    <m/>
    <b v="0"/>
    <m/>
    <n v="55"/>
    <n v="86"/>
    <n v="71"/>
    <b v="0"/>
    <m/>
    <x v="0"/>
    <m/>
    <x v="5"/>
    <x v="5"/>
    <n v="6"/>
    <s v="Pediu prazo adicional para retorno."/>
  </r>
  <r>
    <n v="59"/>
    <s v="Pedro Lucas Aragão"/>
    <s v="scosta@yahoo.com.br"/>
    <s v="REQ-1051"/>
    <x v="2"/>
    <s v="People"/>
    <s v="Campinas"/>
    <s v="Híbrido"/>
    <x v="0"/>
    <x v="48"/>
    <s v="Davi Luiz"/>
    <x v="0"/>
    <x v="5"/>
    <x v="0"/>
    <d v="2025-05-24T00:00:00"/>
    <d v="2025-06-01T00:00:00"/>
    <b v="0"/>
    <m/>
    <b v="0"/>
    <m/>
    <b v="0"/>
    <m/>
    <b v="0"/>
    <m/>
    <n v="80"/>
    <n v="78"/>
    <n v="74"/>
    <b v="0"/>
    <m/>
    <x v="0"/>
    <m/>
    <x v="2"/>
    <x v="1"/>
    <n v="8"/>
    <s v="Demonstrou interesse claro na oportunidade."/>
  </r>
  <r>
    <n v="60"/>
    <s v="Ana Carolina Nascimento"/>
    <s v="maria-clarada-cruz@bol.com.br"/>
    <s v="REQ-1038"/>
    <x v="3"/>
    <s v="Tech"/>
    <s v="Belo Horizonte"/>
    <s v="Híbrido"/>
    <x v="2"/>
    <x v="49"/>
    <s v="Vitor"/>
    <x v="4"/>
    <x v="6"/>
    <x v="2"/>
    <d v="2025-03-06T00:00:00"/>
    <d v="2025-03-08T00:00:00"/>
    <b v="1"/>
    <n v="3"/>
    <b v="1"/>
    <d v="2025-03-09T00:00:00"/>
    <b v="1"/>
    <d v="2025-03-20T00:00:00"/>
    <b v="1"/>
    <d v="2025-03-23T00:00:00"/>
    <n v="100"/>
    <n v="85"/>
    <n v="100"/>
    <b v="1"/>
    <d v="2025-03-30T00:00:00"/>
    <x v="0"/>
    <m/>
    <x v="6"/>
    <x v="0"/>
    <n v="24"/>
    <s v="Demonstrou interesse claro na oportunidade."/>
  </r>
  <r>
    <n v="61"/>
    <s v="João Vitor Rodrigues"/>
    <s v="xnunes@cardoso.com"/>
    <s v="REQ-1017"/>
    <x v="2"/>
    <s v="Operations"/>
    <s v="Curitiba"/>
    <s v="Híbrido"/>
    <x v="1"/>
    <x v="50"/>
    <s v="Leonardo"/>
    <x v="0"/>
    <x v="7"/>
    <x v="2"/>
    <d v="2025-01-18T00:00:00"/>
    <d v="2025-01-19T00:00:00"/>
    <b v="0"/>
    <m/>
    <b v="0"/>
    <m/>
    <b v="0"/>
    <m/>
    <b v="0"/>
    <m/>
    <n v="90"/>
    <n v="76"/>
    <n v="89"/>
    <b v="0"/>
    <m/>
    <x v="0"/>
    <m/>
    <x v="2"/>
    <x v="1"/>
    <n v="1"/>
    <s v="Demonstrou interesse claro na oportunidade."/>
  </r>
  <r>
    <n v="62"/>
    <s v="Sabrina Dias"/>
    <s v="anthony36@yahoo.com.br"/>
    <s v="REQ-1088"/>
    <x v="0"/>
    <s v="Data"/>
    <s v="Remote"/>
    <s v="Presencial"/>
    <x v="0"/>
    <x v="51"/>
    <s v="Augusto"/>
    <x v="5"/>
    <x v="1"/>
    <x v="2"/>
    <d v="2025-03-20T00:00:00"/>
    <d v="2025-03-23T00:00:00"/>
    <b v="0"/>
    <m/>
    <b v="0"/>
    <m/>
    <b v="0"/>
    <m/>
    <b v="0"/>
    <m/>
    <n v="80"/>
    <n v="89"/>
    <n v="76"/>
    <b v="0"/>
    <m/>
    <x v="0"/>
    <m/>
    <x v="2"/>
    <x v="1"/>
    <n v="3"/>
    <s v="Experiência sólida, mas expectativa salarial alta."/>
  </r>
  <r>
    <n v="63"/>
    <s v="Maitê Mendes"/>
    <s v="peixotomaria-luiza@ig.com.br"/>
    <s v="REQ-1042"/>
    <x v="1"/>
    <s v="People"/>
    <s v="Rio de Janeiro"/>
    <s v="Presencial"/>
    <x v="1"/>
    <x v="41"/>
    <s v="Ana"/>
    <x v="2"/>
    <x v="4"/>
    <x v="3"/>
    <d v="2025-03-31T00:00:00"/>
    <d v="2025-04-04T00:00:00"/>
    <b v="0"/>
    <m/>
    <b v="0"/>
    <m/>
    <b v="0"/>
    <m/>
    <b v="0"/>
    <m/>
    <n v="67"/>
    <n v="66"/>
    <n v="69"/>
    <b v="0"/>
    <m/>
    <x v="0"/>
    <m/>
    <x v="2"/>
    <x v="1"/>
    <n v="4"/>
    <s v="Perfil técnico acima da média."/>
  </r>
  <r>
    <n v="64"/>
    <s v="Larissa da Mota"/>
    <s v="cavalcantidiego@goncalves.net"/>
    <s v="REQ-1056"/>
    <x v="3"/>
    <s v="People"/>
    <s v="Belo Horizonte"/>
    <s v="Remoto"/>
    <x v="0"/>
    <x v="21"/>
    <s v="Isabelly"/>
    <x v="5"/>
    <x v="2"/>
    <x v="1"/>
    <d v="2025-01-27T00:00:00"/>
    <d v="2025-02-01T00:00:00"/>
    <b v="1"/>
    <n v="0"/>
    <b v="1"/>
    <d v="2025-02-04T00:00:00"/>
    <b v="1"/>
    <d v="2025-02-17T00:00:00"/>
    <b v="1"/>
    <d v="2025-02-18T00:00:00"/>
    <n v="55"/>
    <n v="59"/>
    <n v="49"/>
    <b v="0"/>
    <m/>
    <x v="0"/>
    <m/>
    <x v="0"/>
    <x v="0"/>
    <n v="22"/>
    <s v="Pontos fortes em execução e autonomia."/>
  </r>
  <r>
    <n v="65"/>
    <s v="Dr. Enzo Gabriel Rezende"/>
    <s v="francisco85@caldeira.com"/>
    <s v="REQ-1087"/>
    <x v="1"/>
    <s v="People"/>
    <s v="Campinas"/>
    <s v="Presencial"/>
    <x v="1"/>
    <x v="52"/>
    <s v="Renan"/>
    <x v="5"/>
    <x v="3"/>
    <x v="2"/>
    <d v="2025-02-22T00:00:00"/>
    <d v="2025-02-22T00:00:00"/>
    <b v="0"/>
    <m/>
    <b v="0"/>
    <m/>
    <b v="0"/>
    <m/>
    <b v="0"/>
    <m/>
    <n v="75"/>
    <n v="75"/>
    <n v="76"/>
    <b v="0"/>
    <m/>
    <x v="0"/>
    <m/>
    <x v="2"/>
    <x v="1"/>
    <n v="0"/>
    <s v="Pediu prazo adicional para retorno."/>
  </r>
  <r>
    <n v="66"/>
    <s v="Kevin Nascimento"/>
    <s v="brunovieira@gmail.com"/>
    <s v="REQ-1086"/>
    <x v="1"/>
    <s v="Operations"/>
    <s v="Belo Horizonte"/>
    <s v="Presencial"/>
    <x v="1"/>
    <x v="53"/>
    <s v="Ana Beatriz"/>
    <x v="0"/>
    <x v="3"/>
    <x v="2"/>
    <d v="2025-02-18T00:00:00"/>
    <d v="2025-02-25T00:00:00"/>
    <b v="1"/>
    <n v="8"/>
    <b v="0"/>
    <m/>
    <b v="0"/>
    <m/>
    <b v="0"/>
    <m/>
    <n v="81"/>
    <n v="90"/>
    <n v="92"/>
    <b v="0"/>
    <m/>
    <x v="0"/>
    <m/>
    <x v="1"/>
    <x v="0"/>
    <n v="7"/>
    <s v="Perfil técnico acima da média."/>
  </r>
  <r>
    <n v="67"/>
    <s v="Maria Sophia Pereira"/>
    <s v="juliada-cunha@nunes.com"/>
    <s v="REQ-1000"/>
    <x v="2"/>
    <s v="Operations"/>
    <s v="Remote"/>
    <s v="Remoto"/>
    <x v="0"/>
    <x v="54"/>
    <s v="Sarah"/>
    <x v="0"/>
    <x v="5"/>
    <x v="1"/>
    <d v="2025-03-11T00:00:00"/>
    <d v="2025-03-21T00:00:00"/>
    <b v="0"/>
    <m/>
    <b v="0"/>
    <m/>
    <b v="0"/>
    <m/>
    <b v="0"/>
    <m/>
    <n v="71"/>
    <n v="79"/>
    <n v="86"/>
    <b v="0"/>
    <m/>
    <x v="0"/>
    <m/>
    <x v="2"/>
    <x v="1"/>
    <n v="10"/>
    <s v="Pediu prazo adicional para retorno."/>
  </r>
  <r>
    <n v="68"/>
    <s v="Ryan Monteiro"/>
    <s v="yagoaragao@rodrigues.br"/>
    <s v="REQ-1092"/>
    <x v="2"/>
    <s v="Operations"/>
    <s v="Rio de Janeiro"/>
    <s v="Remoto"/>
    <x v="0"/>
    <x v="55"/>
    <s v="Clarice"/>
    <x v="2"/>
    <x v="7"/>
    <x v="3"/>
    <d v="2025-05-12T00:00:00"/>
    <d v="2025-05-12T00:00:00"/>
    <b v="1"/>
    <n v="0"/>
    <b v="1"/>
    <d v="2025-05-20T00:00:00"/>
    <b v="0"/>
    <m/>
    <b v="0"/>
    <m/>
    <n v="77"/>
    <n v="80"/>
    <n v="78"/>
    <b v="0"/>
    <m/>
    <x v="0"/>
    <m/>
    <x v="5"/>
    <x v="0"/>
    <n v="8"/>
    <s v="Demonstrou interesse claro na oportunidade."/>
  </r>
  <r>
    <n v="69"/>
    <s v="Arthur Lima"/>
    <s v="bfreitas@castro.com"/>
    <s v="REQ-1005"/>
    <x v="2"/>
    <s v="Operations"/>
    <s v="Campinas"/>
    <s v="Remoto"/>
    <x v="0"/>
    <x v="56"/>
    <s v="Brenda"/>
    <x v="1"/>
    <x v="6"/>
    <x v="0"/>
    <d v="2025-04-23T00:00:00"/>
    <d v="2025-04-23T00:00:00"/>
    <b v="0"/>
    <m/>
    <b v="0"/>
    <m/>
    <b v="0"/>
    <m/>
    <b v="0"/>
    <m/>
    <n v="73"/>
    <n v="90"/>
    <n v="84"/>
    <b v="0"/>
    <m/>
    <x v="0"/>
    <m/>
    <x v="2"/>
    <x v="1"/>
    <n v="0"/>
    <s v="Baixa responsividade nas etapas iniciais."/>
  </r>
  <r>
    <n v="70"/>
    <s v="João Guilherme Lima"/>
    <s v="halves@cunha.br"/>
    <s v="REQ-1030"/>
    <x v="0"/>
    <s v="Tech"/>
    <s v="Rio de Janeiro"/>
    <s v="Híbrido"/>
    <x v="2"/>
    <x v="50"/>
    <s v="Bárbara"/>
    <x v="3"/>
    <x v="1"/>
    <x v="0"/>
    <d v="2025-01-02T00:00:00"/>
    <d v="2025-01-02T00:00:00"/>
    <b v="1"/>
    <n v="5"/>
    <b v="1"/>
    <d v="2025-01-08T00:00:00"/>
    <b v="0"/>
    <m/>
    <b v="0"/>
    <m/>
    <n v="94"/>
    <n v="62"/>
    <n v="65"/>
    <b v="0"/>
    <m/>
    <x v="0"/>
    <m/>
    <x v="5"/>
    <x v="0"/>
    <n v="6"/>
    <s v="Baixa responsividade nas etapas iniciais."/>
  </r>
  <r>
    <n v="71"/>
    <s v="Ana Sophia Fernandes"/>
    <s v="usales@yahoo.com.br"/>
    <s v="REQ-1062"/>
    <x v="1"/>
    <s v="Tech"/>
    <s v="Campinas"/>
    <s v="Presencial"/>
    <x v="1"/>
    <x v="57"/>
    <s v="Thales"/>
    <x v="1"/>
    <x v="6"/>
    <x v="2"/>
    <d v="2025-02-20T00:00:00"/>
    <d v="2025-02-20T00:00:00"/>
    <b v="1"/>
    <n v="4"/>
    <b v="0"/>
    <m/>
    <b v="0"/>
    <m/>
    <b v="0"/>
    <m/>
    <n v="56"/>
    <n v="89"/>
    <n v="70"/>
    <b v="0"/>
    <m/>
    <x v="0"/>
    <m/>
    <x v="1"/>
    <x v="0"/>
    <n v="0"/>
    <s v="Baixa responsividade nas etapas iniciais."/>
  </r>
  <r>
    <n v="72"/>
    <s v="Rafael Ramos"/>
    <s v="da-conceicaobryan@yahoo.com.br"/>
    <s v="REQ-1087"/>
    <x v="0"/>
    <s v="People"/>
    <s v="Remote"/>
    <s v="Híbrido"/>
    <x v="2"/>
    <x v="46"/>
    <s v="Mariana"/>
    <x v="3"/>
    <x v="6"/>
    <x v="2"/>
    <d v="2025-05-05T00:00:00"/>
    <d v="2025-05-06T00:00:00"/>
    <b v="1"/>
    <n v="8"/>
    <b v="1"/>
    <d v="2025-05-09T00:00:00"/>
    <b v="1"/>
    <d v="2025-05-12T00:00:00"/>
    <b v="1"/>
    <d v="2025-05-16T00:00:00"/>
    <n v="60"/>
    <n v="68"/>
    <n v="64"/>
    <b v="0"/>
    <m/>
    <x v="0"/>
    <m/>
    <x v="0"/>
    <x v="0"/>
    <n v="11"/>
    <s v="Baixa responsividade nas etapas iniciais."/>
  </r>
  <r>
    <n v="73"/>
    <s v="Antônio Lopes"/>
    <s v="icarvalho@uol.com.br"/>
    <s v="REQ-1055"/>
    <x v="1"/>
    <s v="Tech"/>
    <s v="Rio de Janeiro"/>
    <s v="Remoto"/>
    <x v="1"/>
    <x v="58"/>
    <s v="Enrico"/>
    <x v="4"/>
    <x v="2"/>
    <x v="2"/>
    <d v="2025-05-04T00:00:00"/>
    <d v="2025-05-10T00:00:00"/>
    <b v="1"/>
    <n v="2"/>
    <b v="1"/>
    <d v="2025-05-19T00:00:00"/>
    <b v="1"/>
    <d v="2025-05-28T00:00:00"/>
    <b v="1"/>
    <d v="2025-06-01T00:00:00"/>
    <n v="62"/>
    <n v="79"/>
    <n v="50"/>
    <b v="0"/>
    <m/>
    <x v="0"/>
    <m/>
    <x v="0"/>
    <x v="9"/>
    <n v="28"/>
    <s v="Feedback positivo do gestor."/>
  </r>
  <r>
    <n v="74"/>
    <s v="Eduarda Jesus"/>
    <s v="glopes@bol.com.br"/>
    <s v="REQ-1026"/>
    <x v="1"/>
    <s v="Data"/>
    <s v="Campinas"/>
    <s v="Presencial"/>
    <x v="1"/>
    <x v="59"/>
    <s v="Lucas"/>
    <x v="5"/>
    <x v="4"/>
    <x v="2"/>
    <d v="2025-04-06T00:00:00"/>
    <d v="2025-04-06T00:00:00"/>
    <b v="1"/>
    <n v="2"/>
    <b v="0"/>
    <m/>
    <b v="0"/>
    <m/>
    <b v="0"/>
    <m/>
    <n v="66"/>
    <n v="75"/>
    <n v="53"/>
    <b v="0"/>
    <m/>
    <x v="0"/>
    <m/>
    <x v="1"/>
    <x v="0"/>
    <n v="0"/>
    <s v="Baixa responsividade nas etapas iniciais."/>
  </r>
  <r>
    <n v="75"/>
    <s v="Dra. Brenda da Cunha"/>
    <s v="gabriellysales@cardoso.net"/>
    <s v="REQ-1076"/>
    <x v="2"/>
    <s v="Tech"/>
    <s v="Rio de Janeiro"/>
    <s v="Remoto"/>
    <x v="0"/>
    <x v="60"/>
    <s v="Bernardo"/>
    <x v="2"/>
    <x v="1"/>
    <x v="1"/>
    <d v="2025-02-24T00:00:00"/>
    <d v="2025-02-25T00:00:00"/>
    <b v="1"/>
    <n v="2"/>
    <b v="1"/>
    <d v="2025-02-26T00:00:00"/>
    <b v="0"/>
    <m/>
    <b v="0"/>
    <m/>
    <n v="85"/>
    <n v="82"/>
    <n v="93"/>
    <b v="0"/>
    <m/>
    <x v="0"/>
    <m/>
    <x v="5"/>
    <x v="2"/>
    <n v="2"/>
    <s v="Demonstrou interesse claro na oportunidade."/>
  </r>
  <r>
    <n v="76"/>
    <s v="Dr. Benjamin Pereira"/>
    <s v="xmoura@cavalcanti.com"/>
    <s v="REQ-1080"/>
    <x v="2"/>
    <s v="People"/>
    <s v="São Paulo"/>
    <s v="Híbrido"/>
    <x v="1"/>
    <x v="59"/>
    <s v="João Felipe"/>
    <x v="0"/>
    <x v="5"/>
    <x v="3"/>
    <d v="2025-04-19T00:00:00"/>
    <d v="2025-04-25T00:00:00"/>
    <b v="1"/>
    <n v="9"/>
    <b v="1"/>
    <d v="2025-04-29T00:00:00"/>
    <b v="1"/>
    <d v="2025-05-12T00:00:00"/>
    <b v="1"/>
    <d v="2025-05-17T00:00:00"/>
    <n v="67"/>
    <n v="63"/>
    <n v="43"/>
    <b v="0"/>
    <m/>
    <x v="0"/>
    <m/>
    <x v="0"/>
    <x v="0"/>
    <n v="28"/>
    <s v="Experiência sólida, mas expectativa salarial alta."/>
  </r>
  <r>
    <n v="77"/>
    <s v="Dr. Yuri da Mota"/>
    <s v="mourapedro@ig.com.br"/>
    <s v="REQ-1005"/>
    <x v="3"/>
    <s v="Operations"/>
    <s v="Curitiba"/>
    <s v="Presencial"/>
    <x v="1"/>
    <x v="41"/>
    <s v="Maria Sophia"/>
    <x v="2"/>
    <x v="0"/>
    <x v="2"/>
    <d v="2025-03-26T00:00:00"/>
    <d v="2025-03-28T00:00:00"/>
    <b v="1"/>
    <n v="11"/>
    <b v="1"/>
    <d v="2025-04-07T00:00:00"/>
    <b v="1"/>
    <d v="2025-04-16T00:00:00"/>
    <b v="1"/>
    <d v="2025-04-25T00:00:00"/>
    <n v="63"/>
    <n v="73"/>
    <n v="65"/>
    <b v="0"/>
    <m/>
    <x v="0"/>
    <m/>
    <x v="0"/>
    <x v="0"/>
    <n v="30"/>
    <s v="Baixa responsividade nas etapas iniciais."/>
  </r>
  <r>
    <n v="78"/>
    <s v="Pedro Henrique Almeida"/>
    <s v="gabrielamoraes@barros.com"/>
    <s v="REQ-1017"/>
    <x v="2"/>
    <s v="Tech"/>
    <s v="Curitiba"/>
    <s v="Remoto"/>
    <x v="0"/>
    <x v="59"/>
    <s v="Carlos Eduardo"/>
    <x v="3"/>
    <x v="7"/>
    <x v="0"/>
    <d v="2025-04-27T00:00:00"/>
    <d v="2025-04-27T00:00:00"/>
    <b v="0"/>
    <m/>
    <b v="0"/>
    <m/>
    <b v="0"/>
    <m/>
    <b v="0"/>
    <m/>
    <n v="82"/>
    <n v="69"/>
    <n v="60"/>
    <b v="0"/>
    <m/>
    <x v="0"/>
    <m/>
    <x v="2"/>
    <x v="1"/>
    <n v="0"/>
    <s v="Demonstrou interesse claro na oportunidade."/>
  </r>
  <r>
    <n v="79"/>
    <s v="Fernanda da Cunha"/>
    <s v="mirella71@rocha.com"/>
    <s v="REQ-1000"/>
    <x v="3"/>
    <s v="Data"/>
    <s v="São Paulo"/>
    <s v="Presencial"/>
    <x v="0"/>
    <x v="61"/>
    <s v="Vitor Hugo"/>
    <x v="5"/>
    <x v="6"/>
    <x v="0"/>
    <d v="2025-05-26T00:00:00"/>
    <d v="2025-05-31T00:00:00"/>
    <b v="1"/>
    <n v="6"/>
    <b v="0"/>
    <m/>
    <b v="0"/>
    <m/>
    <b v="0"/>
    <m/>
    <n v="73"/>
    <n v="67"/>
    <n v="74"/>
    <b v="0"/>
    <m/>
    <x v="0"/>
    <m/>
    <x v="1"/>
    <x v="0"/>
    <n v="5"/>
    <s v="Baixa responsividade nas etapas iniciais."/>
  </r>
  <r>
    <n v="80"/>
    <s v="Lucas Gabriel Nascimento"/>
    <s v="camilacampos@da.br"/>
    <s v="REQ-1072"/>
    <x v="2"/>
    <s v="Data"/>
    <s v="Curitiba"/>
    <s v="Presencial"/>
    <x v="1"/>
    <x v="26"/>
    <s v="Maria Fernanda"/>
    <x v="5"/>
    <x v="4"/>
    <x v="2"/>
    <d v="2025-02-02T00:00:00"/>
    <d v="2025-02-05T00:00:00"/>
    <b v="1"/>
    <n v="4"/>
    <b v="1"/>
    <d v="2025-02-11T00:00:00"/>
    <b v="1"/>
    <d v="2025-02-19T00:00:00"/>
    <b v="1"/>
    <d v="2025-02-26T00:00:00"/>
    <n v="57"/>
    <n v="85"/>
    <n v="57"/>
    <b v="0"/>
    <m/>
    <x v="0"/>
    <m/>
    <x v="0"/>
    <x v="0"/>
    <n v="24"/>
    <s v="Apresentou aderência forte ao contexto da vaga."/>
  </r>
  <r>
    <n v="81"/>
    <s v="Emilly Moreira"/>
    <s v="fnunes@teixeira.com"/>
    <s v="REQ-1032"/>
    <x v="0"/>
    <s v="Data"/>
    <s v="Curitiba"/>
    <s v="Remoto"/>
    <x v="2"/>
    <x v="2"/>
    <s v="Rafael"/>
    <x v="1"/>
    <x v="2"/>
    <x v="0"/>
    <d v="2025-02-20T00:00:00"/>
    <d v="2025-02-20T00:00:00"/>
    <b v="1"/>
    <n v="4"/>
    <b v="1"/>
    <d v="2025-02-25T00:00:00"/>
    <b v="1"/>
    <d v="2025-02-27T00:00:00"/>
    <b v="1"/>
    <d v="2025-03-09T00:00:00"/>
    <n v="70"/>
    <n v="77"/>
    <n v="65"/>
    <b v="0"/>
    <m/>
    <x v="0"/>
    <m/>
    <x v="0"/>
    <x v="5"/>
    <n v="17"/>
    <s v="Demonstrou interesse claro na oportunidade."/>
  </r>
  <r>
    <n v="82"/>
    <s v="Mariana Lima"/>
    <s v="omartins@porto.com"/>
    <s v="REQ-1024"/>
    <x v="3"/>
    <s v="Tech"/>
    <s v="Campinas"/>
    <s v="Remoto"/>
    <x v="3"/>
    <x v="19"/>
    <s v="Ana Júlia"/>
    <x v="3"/>
    <x v="1"/>
    <x v="2"/>
    <d v="2025-05-24T00:00:00"/>
    <d v="2025-05-27T00:00:00"/>
    <b v="1"/>
    <n v="2"/>
    <b v="1"/>
    <d v="2025-06-02T00:00:00"/>
    <b v="1"/>
    <d v="2025-06-15T00:00:00"/>
    <b v="0"/>
    <m/>
    <n v="59"/>
    <n v="88"/>
    <n v="70"/>
    <b v="0"/>
    <m/>
    <x v="0"/>
    <m/>
    <x v="3"/>
    <x v="4"/>
    <n v="22"/>
    <s v="Pediu prazo adicional para retorno."/>
  </r>
  <r>
    <n v="83"/>
    <s v="Marcela Lopes"/>
    <s v="gomeseloah@dias.net"/>
    <s v="REQ-1090"/>
    <x v="0"/>
    <s v="Operations"/>
    <s v="Curitiba"/>
    <s v="Remoto"/>
    <x v="2"/>
    <x v="41"/>
    <s v="Carolina"/>
    <x v="4"/>
    <x v="7"/>
    <x v="1"/>
    <d v="2025-01-08T00:00:00"/>
    <d v="2025-01-11T00:00:00"/>
    <b v="0"/>
    <m/>
    <b v="0"/>
    <m/>
    <b v="0"/>
    <m/>
    <b v="0"/>
    <m/>
    <n v="46"/>
    <n v="56"/>
    <n v="37"/>
    <b v="0"/>
    <m/>
    <x v="0"/>
    <m/>
    <x v="2"/>
    <x v="1"/>
    <n v="3"/>
    <s v="Apresentou aderência forte ao contexto da vaga."/>
  </r>
  <r>
    <n v="84"/>
    <s v="Maysa Souza"/>
    <s v="ada-cruz@costela.net"/>
    <s v="REQ-1041"/>
    <x v="0"/>
    <s v="Data"/>
    <s v="Campinas"/>
    <s v="Remoto"/>
    <x v="0"/>
    <x v="46"/>
    <s v="Ana Clara"/>
    <x v="3"/>
    <x v="1"/>
    <x v="3"/>
    <d v="2025-03-22T00:00:00"/>
    <d v="2025-03-24T00:00:00"/>
    <b v="1"/>
    <n v="8"/>
    <b v="1"/>
    <d v="2025-03-26T00:00:00"/>
    <b v="1"/>
    <d v="2025-04-05T00:00:00"/>
    <b v="0"/>
    <m/>
    <n v="59"/>
    <n v="71"/>
    <n v="60"/>
    <b v="0"/>
    <m/>
    <x v="0"/>
    <m/>
    <x v="3"/>
    <x v="4"/>
    <n v="14"/>
    <s v="Feedback positivo do gestor."/>
  </r>
  <r>
    <n v="85"/>
    <s v="Lara Nogueira"/>
    <s v="laviniamoreira@bol.com.br"/>
    <s v="REQ-1094"/>
    <x v="3"/>
    <s v="People"/>
    <s v="Remote"/>
    <s v="Híbrido"/>
    <x v="1"/>
    <x v="62"/>
    <s v="Sofia"/>
    <x v="0"/>
    <x v="4"/>
    <x v="0"/>
    <d v="2025-04-22T00:00:00"/>
    <d v="2025-04-22T00:00:00"/>
    <b v="1"/>
    <n v="11"/>
    <b v="1"/>
    <d v="2025-04-26T00:00:00"/>
    <b v="1"/>
    <d v="2025-05-10T00:00:00"/>
    <b v="1"/>
    <d v="2025-05-13T00:00:00"/>
    <n v="76"/>
    <n v="92"/>
    <n v="100"/>
    <b v="1"/>
    <d v="2025-05-19T00:00:00"/>
    <x v="0"/>
    <m/>
    <x v="6"/>
    <x v="0"/>
    <n v="27"/>
    <s v="Perfil técnico acima da média."/>
  </r>
  <r>
    <n v="86"/>
    <s v="Levi Porto"/>
    <s v="mendesantonio@bol.com.br"/>
    <s v="REQ-1072"/>
    <x v="3"/>
    <s v="Data"/>
    <s v="Rio de Janeiro"/>
    <s v="Remoto"/>
    <x v="0"/>
    <x v="63"/>
    <s v="Yasmin"/>
    <x v="3"/>
    <x v="4"/>
    <x v="0"/>
    <d v="2025-01-14T00:00:00"/>
    <d v="2025-01-19T00:00:00"/>
    <b v="1"/>
    <n v="3"/>
    <b v="1"/>
    <d v="2025-01-26T00:00:00"/>
    <b v="1"/>
    <d v="2025-01-29T00:00:00"/>
    <b v="1"/>
    <d v="2025-02-07T00:00:00"/>
    <n v="79"/>
    <n v="71"/>
    <n v="75"/>
    <b v="0"/>
    <m/>
    <x v="0"/>
    <m/>
    <x v="0"/>
    <x v="7"/>
    <n v="24"/>
    <s v="Baixa responsividade nas etapas iniciais."/>
  </r>
  <r>
    <n v="87"/>
    <s v="Lorena Vieira"/>
    <s v="daniela53@uol.com.br"/>
    <s v="REQ-1003"/>
    <x v="0"/>
    <s v="People"/>
    <s v="Belo Horizonte"/>
    <s v="Híbrido"/>
    <x v="0"/>
    <x v="9"/>
    <s v="Letícia"/>
    <x v="0"/>
    <x v="2"/>
    <x v="0"/>
    <d v="2025-02-21T00:00:00"/>
    <d v="2025-02-21T00:00:00"/>
    <b v="1"/>
    <n v="5"/>
    <b v="1"/>
    <d v="2025-02-25T00:00:00"/>
    <b v="1"/>
    <d v="2025-03-05T00:00:00"/>
    <b v="1"/>
    <d v="2025-03-08T00:00:00"/>
    <n v="87"/>
    <n v="87"/>
    <n v="75"/>
    <b v="1"/>
    <d v="2025-03-09T00:00:00"/>
    <x v="1"/>
    <d v="2025-03-16T00:00:00"/>
    <x v="4"/>
    <x v="0"/>
    <n v="23"/>
    <s v="Pediu prazo adicional para retorno."/>
  </r>
  <r>
    <n v="88"/>
    <s v="Ana Clara Caldeira"/>
    <s v="sda-rocha@santos.com"/>
    <s v="REQ-1022"/>
    <x v="0"/>
    <s v="Tech"/>
    <s v="Belo Horizonte"/>
    <s v="Presencial"/>
    <x v="2"/>
    <x v="49"/>
    <s v="Luiza"/>
    <x v="4"/>
    <x v="7"/>
    <x v="3"/>
    <d v="2025-01-06T00:00:00"/>
    <d v="2025-01-08T00:00:00"/>
    <b v="1"/>
    <n v="3"/>
    <b v="1"/>
    <d v="2025-01-09T00:00:00"/>
    <b v="1"/>
    <d v="2025-01-13T00:00:00"/>
    <b v="1"/>
    <d v="2025-01-20T00:00:00"/>
    <n v="92"/>
    <n v="75"/>
    <n v="78"/>
    <b v="1"/>
    <d v="2025-01-27T00:00:00"/>
    <x v="1"/>
    <d v="2025-02-02T00:00:00"/>
    <x v="4"/>
    <x v="0"/>
    <n v="27"/>
    <s v="Experiência sólida, mas expectativa salarial alta."/>
  </r>
  <r>
    <n v="89"/>
    <s v="Benjamin Freitas"/>
    <s v="davi-luccapeixoto@bol.com.br"/>
    <s v="REQ-1088"/>
    <x v="3"/>
    <s v="People"/>
    <s v="Remote"/>
    <s v="Remoto"/>
    <x v="1"/>
    <x v="41"/>
    <s v="Lucas"/>
    <x v="4"/>
    <x v="2"/>
    <x v="2"/>
    <d v="2025-02-17T00:00:00"/>
    <d v="2025-02-19T00:00:00"/>
    <b v="1"/>
    <n v="0"/>
    <b v="1"/>
    <d v="2025-02-24T00:00:00"/>
    <b v="0"/>
    <m/>
    <b v="0"/>
    <m/>
    <n v="68"/>
    <n v="72"/>
    <n v="77"/>
    <b v="0"/>
    <m/>
    <x v="0"/>
    <m/>
    <x v="5"/>
    <x v="0"/>
    <n v="7"/>
    <s v="Perfil técnico acima da média."/>
  </r>
  <r>
    <n v="90"/>
    <s v="Alana da Mata"/>
    <s v="felipe55@uol.com.br"/>
    <s v="REQ-1090"/>
    <x v="2"/>
    <s v="Operations"/>
    <s v="Curitiba"/>
    <s v="Híbrido"/>
    <x v="0"/>
    <x v="13"/>
    <s v="Davi Lucca"/>
    <x v="3"/>
    <x v="7"/>
    <x v="3"/>
    <d v="2025-01-24T00:00:00"/>
    <d v="2025-01-28T00:00:00"/>
    <b v="1"/>
    <n v="2"/>
    <b v="1"/>
    <d v="2025-02-06T00:00:00"/>
    <b v="0"/>
    <m/>
    <b v="0"/>
    <m/>
    <n v="62"/>
    <n v="61"/>
    <n v="59"/>
    <b v="0"/>
    <m/>
    <x v="0"/>
    <m/>
    <x v="5"/>
    <x v="6"/>
    <n v="13"/>
    <s v="Feedback positivo do gestor."/>
  </r>
  <r>
    <n v="91"/>
    <s v="Otávio Martins"/>
    <s v="pintojulia@ig.com.br"/>
    <s v="REQ-1033"/>
    <x v="1"/>
    <s v="Data"/>
    <s v="São Paulo"/>
    <s v="Remoto"/>
    <x v="0"/>
    <x v="37"/>
    <s v="Eloah"/>
    <x v="1"/>
    <x v="5"/>
    <x v="0"/>
    <d v="2025-01-04T00:00:00"/>
    <d v="2025-01-04T00:00:00"/>
    <b v="0"/>
    <m/>
    <b v="0"/>
    <m/>
    <b v="0"/>
    <m/>
    <b v="0"/>
    <m/>
    <n v="60"/>
    <n v="82"/>
    <n v="75"/>
    <b v="0"/>
    <m/>
    <x v="0"/>
    <m/>
    <x v="2"/>
    <x v="1"/>
    <n v="0"/>
    <s v="Pontos fortes em execução e autonomia."/>
  </r>
  <r>
    <n v="92"/>
    <s v="Ana Julia Ferreira"/>
    <s v="goncalvesclarice@yahoo.com.br"/>
    <s v="REQ-1083"/>
    <x v="2"/>
    <s v="Tech"/>
    <s v="Remote"/>
    <s v="Híbrido"/>
    <x v="0"/>
    <x v="32"/>
    <s v="Raquel"/>
    <x v="3"/>
    <x v="2"/>
    <x v="0"/>
    <d v="2025-02-14T00:00:00"/>
    <d v="2025-02-23T00:00:00"/>
    <b v="0"/>
    <m/>
    <b v="0"/>
    <m/>
    <b v="0"/>
    <m/>
    <b v="0"/>
    <m/>
    <n v="85"/>
    <n v="78"/>
    <n v="81"/>
    <b v="0"/>
    <m/>
    <x v="0"/>
    <m/>
    <x v="2"/>
    <x v="1"/>
    <n v="9"/>
    <s v="Experiência sólida, mas expectativa salarial alta."/>
  </r>
  <r>
    <n v="93"/>
    <s v="Nicole Cavalcanti"/>
    <s v="duarteantonio@bol.com.br"/>
    <s v="REQ-1035"/>
    <x v="0"/>
    <s v="People"/>
    <s v="Curitiba"/>
    <s v="Presencial"/>
    <x v="0"/>
    <x v="64"/>
    <s v="Gabrielly"/>
    <x v="5"/>
    <x v="6"/>
    <x v="0"/>
    <d v="2025-05-15T00:00:00"/>
    <d v="2025-05-17T00:00:00"/>
    <b v="1"/>
    <n v="11"/>
    <b v="0"/>
    <m/>
    <b v="0"/>
    <m/>
    <b v="0"/>
    <m/>
    <n v="73"/>
    <n v="74"/>
    <n v="70"/>
    <b v="0"/>
    <m/>
    <x v="0"/>
    <m/>
    <x v="1"/>
    <x v="0"/>
    <n v="2"/>
    <s v="Demonstrou interesse claro na oportunidade."/>
  </r>
  <r>
    <n v="94"/>
    <s v="Benício Rodrigues"/>
    <s v="ana-livia76@gmail.com"/>
    <s v="REQ-1080"/>
    <x v="2"/>
    <s v="People"/>
    <s v="Campinas"/>
    <s v="Presencial"/>
    <x v="1"/>
    <x v="65"/>
    <s v="Felipe"/>
    <x v="0"/>
    <x v="3"/>
    <x v="0"/>
    <d v="2025-04-13T00:00:00"/>
    <d v="2025-04-16T00:00:00"/>
    <b v="1"/>
    <n v="5"/>
    <b v="1"/>
    <d v="2025-04-18T00:00:00"/>
    <b v="1"/>
    <d v="2025-04-23T00:00:00"/>
    <b v="1"/>
    <d v="2025-05-02T00:00:00"/>
    <n v="69"/>
    <n v="74"/>
    <n v="78"/>
    <b v="0"/>
    <m/>
    <x v="0"/>
    <m/>
    <x v="0"/>
    <x v="0"/>
    <n v="19"/>
    <s v="Boa comunicação e resposta rápida."/>
  </r>
  <r>
    <n v="95"/>
    <s v="Heloísa das Neves"/>
    <s v="migueldas-neves@ig.com.br"/>
    <s v="REQ-1006"/>
    <x v="3"/>
    <s v="Operations"/>
    <s v="Rio de Janeiro"/>
    <s v="Remoto"/>
    <x v="1"/>
    <x v="52"/>
    <s v="Miguel"/>
    <x v="2"/>
    <x v="4"/>
    <x v="1"/>
    <d v="2025-03-10T00:00:00"/>
    <d v="2025-03-12T00:00:00"/>
    <b v="0"/>
    <m/>
    <b v="0"/>
    <m/>
    <b v="0"/>
    <m/>
    <b v="0"/>
    <m/>
    <n v="64"/>
    <n v="61"/>
    <n v="65"/>
    <b v="0"/>
    <m/>
    <x v="0"/>
    <m/>
    <x v="2"/>
    <x v="1"/>
    <n v="2"/>
    <s v="Boa comunicação e resposta rápida."/>
  </r>
  <r>
    <n v="96"/>
    <s v="Danilo Pereira"/>
    <s v="agatha73@da.org"/>
    <s v="REQ-1076"/>
    <x v="2"/>
    <s v="Data"/>
    <s v="Campinas"/>
    <s v="Remoto"/>
    <x v="0"/>
    <x v="66"/>
    <s v="Felipe"/>
    <x v="5"/>
    <x v="5"/>
    <x v="1"/>
    <d v="2025-02-19T00:00:00"/>
    <d v="2025-02-24T00:00:00"/>
    <b v="1"/>
    <n v="11"/>
    <b v="0"/>
    <m/>
    <b v="0"/>
    <m/>
    <b v="0"/>
    <m/>
    <n v="39"/>
    <n v="92"/>
    <n v="66"/>
    <b v="0"/>
    <m/>
    <x v="0"/>
    <m/>
    <x v="1"/>
    <x v="3"/>
    <n v="5"/>
    <s v="Demonstrou interesse claro na oportunidade."/>
  </r>
  <r>
    <n v="97"/>
    <s v="Sr. Pedro Henrique Melo"/>
    <s v="carlos-eduardo02@da.net"/>
    <s v="REQ-1071"/>
    <x v="0"/>
    <s v="Data"/>
    <s v="São Paulo"/>
    <s v="Presencial"/>
    <x v="1"/>
    <x v="65"/>
    <s v="Kamilly"/>
    <x v="2"/>
    <x v="4"/>
    <x v="2"/>
    <d v="2025-02-07T00:00:00"/>
    <d v="2025-02-07T00:00:00"/>
    <b v="1"/>
    <n v="0"/>
    <b v="1"/>
    <d v="2025-02-10T00:00:00"/>
    <b v="1"/>
    <d v="2025-02-13T00:00:00"/>
    <b v="1"/>
    <d v="2025-02-16T00:00:00"/>
    <n v="64"/>
    <n v="67"/>
    <n v="68"/>
    <b v="0"/>
    <m/>
    <x v="0"/>
    <m/>
    <x v="0"/>
    <x v="8"/>
    <n v="9"/>
    <s v="Bom potencial de evolução."/>
  </r>
  <r>
    <n v="98"/>
    <s v="Breno da Cruz"/>
    <s v="goncalvespedro-miguel@mendes.org"/>
    <s v="REQ-1094"/>
    <x v="1"/>
    <s v="People"/>
    <s v="São Paulo"/>
    <s v="Híbrido"/>
    <x v="2"/>
    <x v="2"/>
    <s v="Mirella"/>
    <x v="1"/>
    <x v="4"/>
    <x v="1"/>
    <d v="2025-01-27T00:00:00"/>
    <d v="2025-01-30T00:00:00"/>
    <b v="1"/>
    <n v="6"/>
    <b v="1"/>
    <d v="2025-02-03T00:00:00"/>
    <b v="1"/>
    <d v="2025-02-16T00:00:00"/>
    <b v="1"/>
    <d v="2025-02-20T00:00:00"/>
    <n v="65"/>
    <n v="87"/>
    <n v="68"/>
    <b v="0"/>
    <m/>
    <x v="0"/>
    <m/>
    <x v="0"/>
    <x v="9"/>
    <n v="24"/>
    <s v="Pediu prazo adicional para retorno."/>
  </r>
  <r>
    <n v="99"/>
    <s v="Alice da Mata"/>
    <s v="nunespedro@silveira.net"/>
    <s v="REQ-1039"/>
    <x v="2"/>
    <s v="Tech"/>
    <s v="Campinas"/>
    <s v="Remoto"/>
    <x v="0"/>
    <x v="10"/>
    <s v="Levi"/>
    <x v="3"/>
    <x v="0"/>
    <x v="1"/>
    <d v="2025-02-17T00:00:00"/>
    <d v="2025-02-22T00:00:00"/>
    <b v="0"/>
    <m/>
    <b v="0"/>
    <m/>
    <b v="0"/>
    <m/>
    <b v="0"/>
    <m/>
    <n v="69"/>
    <n v="64"/>
    <n v="70"/>
    <b v="0"/>
    <m/>
    <x v="0"/>
    <m/>
    <x v="2"/>
    <x v="1"/>
    <n v="5"/>
    <s v="Apresentou aderência forte ao contexto da vaga."/>
  </r>
  <r>
    <n v="100"/>
    <s v="Camila Duarte"/>
    <s v="fernandesian@da.org"/>
    <s v="REQ-1092"/>
    <x v="0"/>
    <s v="Tech"/>
    <s v="Curitiba"/>
    <s v="Remoto"/>
    <x v="1"/>
    <x v="35"/>
    <s v="Arthur"/>
    <x v="4"/>
    <x v="6"/>
    <x v="1"/>
    <d v="2025-05-22T00:00:00"/>
    <d v="2025-05-22T00:00:00"/>
    <b v="1"/>
    <n v="6"/>
    <b v="1"/>
    <d v="2025-05-30T00:00:00"/>
    <b v="1"/>
    <d v="2025-06-10T00:00:00"/>
    <b v="1"/>
    <d v="2025-06-16T00:00:00"/>
    <n v="88"/>
    <n v="65"/>
    <n v="68"/>
    <b v="0"/>
    <m/>
    <x v="0"/>
    <m/>
    <x v="0"/>
    <x v="3"/>
    <n v="25"/>
    <s v="Baixa responsividade nas etapas iniciais."/>
  </r>
  <r>
    <n v="101"/>
    <s v="Nicole Correia"/>
    <s v="rebeca91@gmail.com"/>
    <s v="REQ-1090"/>
    <x v="1"/>
    <s v="Tech"/>
    <s v="Rio de Janeiro"/>
    <s v="Presencial"/>
    <x v="1"/>
    <x v="36"/>
    <s v="Theo"/>
    <x v="5"/>
    <x v="7"/>
    <x v="0"/>
    <d v="2025-02-11T00:00:00"/>
    <d v="2025-02-17T00:00:00"/>
    <b v="1"/>
    <n v="11"/>
    <b v="0"/>
    <m/>
    <b v="0"/>
    <m/>
    <b v="0"/>
    <m/>
    <n v="73"/>
    <n v="56"/>
    <n v="52"/>
    <b v="0"/>
    <m/>
    <x v="0"/>
    <m/>
    <x v="1"/>
    <x v="7"/>
    <n v="6"/>
    <s v="Demonstrou interesse claro na oportunidade."/>
  </r>
  <r>
    <n v="102"/>
    <s v="Alana Ferreira"/>
    <s v="alexia46@barbosa.com"/>
    <s v="REQ-1037"/>
    <x v="0"/>
    <s v="Operations"/>
    <s v="Belo Horizonte"/>
    <s v="Remoto"/>
    <x v="0"/>
    <x v="10"/>
    <s v="Nicolas"/>
    <x v="2"/>
    <x v="7"/>
    <x v="3"/>
    <d v="2025-01-31T00:00:00"/>
    <d v="2025-01-31T00:00:00"/>
    <b v="1"/>
    <n v="3"/>
    <b v="0"/>
    <m/>
    <b v="0"/>
    <m/>
    <b v="0"/>
    <m/>
    <n v="70"/>
    <n v="71"/>
    <n v="72"/>
    <b v="0"/>
    <m/>
    <x v="0"/>
    <m/>
    <x v="1"/>
    <x v="0"/>
    <n v="0"/>
    <s v="Demonstrou interesse claro na oportunidade."/>
  </r>
  <r>
    <n v="103"/>
    <s v="Dra. Maria Alves"/>
    <s v="rezenderaquel@gmail.com"/>
    <s v="REQ-1086"/>
    <x v="0"/>
    <s v="People"/>
    <s v="São Paulo"/>
    <s v="Remoto"/>
    <x v="2"/>
    <x v="62"/>
    <s v="Maria Cecília"/>
    <x v="0"/>
    <x v="6"/>
    <x v="2"/>
    <d v="2025-02-17T00:00:00"/>
    <d v="2025-02-17T00:00:00"/>
    <b v="1"/>
    <n v="7"/>
    <b v="1"/>
    <d v="2025-02-25T00:00:00"/>
    <b v="1"/>
    <d v="2025-02-28T00:00:00"/>
    <b v="0"/>
    <m/>
    <n v="53"/>
    <n v="71"/>
    <n v="63"/>
    <b v="0"/>
    <m/>
    <x v="0"/>
    <m/>
    <x v="3"/>
    <x v="6"/>
    <n v="11"/>
    <s v="Bom potencial de evolução."/>
  </r>
  <r>
    <n v="104"/>
    <s v="Daniel Ribeiro"/>
    <s v="kaiquerocha@da.org"/>
    <s v="REQ-1056"/>
    <x v="2"/>
    <s v="Operations"/>
    <s v="Rio de Janeiro"/>
    <s v="Presencial"/>
    <x v="1"/>
    <x v="46"/>
    <s v="Bernardo"/>
    <x v="4"/>
    <x v="3"/>
    <x v="2"/>
    <d v="2025-02-16T00:00:00"/>
    <d v="2025-02-21T00:00:00"/>
    <b v="1"/>
    <n v="5"/>
    <b v="1"/>
    <d v="2025-02-24T00:00:00"/>
    <b v="0"/>
    <m/>
    <b v="0"/>
    <m/>
    <n v="73"/>
    <n v="91"/>
    <n v="80"/>
    <b v="0"/>
    <m/>
    <x v="0"/>
    <m/>
    <x v="5"/>
    <x v="3"/>
    <n v="8"/>
    <s v="Feedback positivo do gestor."/>
  </r>
  <r>
    <n v="105"/>
    <s v="João Miguel Ramos"/>
    <s v="costadiego@bol.com.br"/>
    <s v="REQ-1004"/>
    <x v="1"/>
    <s v="Operations"/>
    <s v="Rio de Janeiro"/>
    <s v="Híbrido"/>
    <x v="1"/>
    <x v="36"/>
    <s v="João"/>
    <x v="0"/>
    <x v="4"/>
    <x v="1"/>
    <d v="2025-02-07T00:00:00"/>
    <d v="2025-02-13T00:00:00"/>
    <b v="0"/>
    <m/>
    <b v="0"/>
    <m/>
    <b v="0"/>
    <m/>
    <b v="0"/>
    <m/>
    <n v="81"/>
    <n v="61"/>
    <n v="82"/>
    <b v="0"/>
    <m/>
    <x v="0"/>
    <m/>
    <x v="2"/>
    <x v="1"/>
    <n v="6"/>
    <s v="Demonstrou interesse claro na oportunidade."/>
  </r>
  <r>
    <n v="106"/>
    <s v="Joaquim Mendes"/>
    <s v="julianaaragao@da.com"/>
    <s v="REQ-1055"/>
    <x v="0"/>
    <s v="Operations"/>
    <s v="Rio de Janeiro"/>
    <s v="Híbrido"/>
    <x v="1"/>
    <x v="37"/>
    <s v="Gustavo Henrique"/>
    <x v="3"/>
    <x v="3"/>
    <x v="3"/>
    <d v="2025-03-13T00:00:00"/>
    <d v="2025-03-19T00:00:00"/>
    <b v="1"/>
    <n v="4"/>
    <b v="0"/>
    <m/>
    <b v="0"/>
    <m/>
    <b v="0"/>
    <m/>
    <n v="77"/>
    <n v="80"/>
    <n v="74"/>
    <b v="0"/>
    <m/>
    <x v="0"/>
    <m/>
    <x v="1"/>
    <x v="0"/>
    <n v="6"/>
    <s v="Apresentou aderência forte ao contexto da vaga."/>
  </r>
  <r>
    <n v="107"/>
    <s v="Marcela Ferreira"/>
    <s v="dmoura@bol.com.br"/>
    <s v="REQ-1038"/>
    <x v="1"/>
    <s v="Data"/>
    <s v="Rio de Janeiro"/>
    <s v="Remoto"/>
    <x v="2"/>
    <x v="67"/>
    <s v="João Guilherme"/>
    <x v="5"/>
    <x v="5"/>
    <x v="0"/>
    <d v="2025-04-12T00:00:00"/>
    <d v="2025-04-16T00:00:00"/>
    <b v="0"/>
    <m/>
    <b v="0"/>
    <m/>
    <b v="0"/>
    <m/>
    <b v="0"/>
    <m/>
    <n v="64"/>
    <n v="67"/>
    <n v="72"/>
    <b v="0"/>
    <m/>
    <x v="0"/>
    <m/>
    <x v="2"/>
    <x v="1"/>
    <n v="4"/>
    <s v="Experiência sólida, mas expectativa salarial alta."/>
  </r>
  <r>
    <n v="108"/>
    <s v="Maria Luiza Castro"/>
    <s v="costeladaniel@nunes.br"/>
    <s v="REQ-1070"/>
    <x v="3"/>
    <s v="Tech"/>
    <s v="Campinas"/>
    <s v="Híbrido"/>
    <x v="1"/>
    <x v="57"/>
    <s v="Marina"/>
    <x v="4"/>
    <x v="3"/>
    <x v="3"/>
    <d v="2025-05-02T00:00:00"/>
    <d v="2025-05-02T00:00:00"/>
    <b v="1"/>
    <n v="8"/>
    <b v="0"/>
    <m/>
    <b v="0"/>
    <m/>
    <b v="0"/>
    <m/>
    <n v="83"/>
    <n v="64"/>
    <n v="73"/>
    <b v="0"/>
    <m/>
    <x v="0"/>
    <m/>
    <x v="1"/>
    <x v="0"/>
    <n v="0"/>
    <s v="Boa comunicação e resposta rápida."/>
  </r>
  <r>
    <n v="109"/>
    <s v="Júlia Nunes"/>
    <s v="ralves@uol.com.br"/>
    <s v="REQ-1048"/>
    <x v="1"/>
    <s v="Data"/>
    <s v="Belo Horizonte"/>
    <s v="Híbrido"/>
    <x v="0"/>
    <x v="68"/>
    <s v="Fernanda"/>
    <x v="3"/>
    <x v="7"/>
    <x v="3"/>
    <d v="2025-05-04T00:00:00"/>
    <d v="2025-05-04T00:00:00"/>
    <b v="0"/>
    <m/>
    <b v="0"/>
    <m/>
    <b v="0"/>
    <m/>
    <b v="0"/>
    <m/>
    <n v="59"/>
    <n v="76"/>
    <n v="77"/>
    <b v="0"/>
    <m/>
    <x v="0"/>
    <m/>
    <x v="2"/>
    <x v="1"/>
    <n v="0"/>
    <s v="Bom potencial de evolução."/>
  </r>
  <r>
    <n v="110"/>
    <s v="Nathan da Paz"/>
    <s v="thomas99@gmail.com"/>
    <s v="REQ-1043"/>
    <x v="1"/>
    <s v="Operations"/>
    <s v="Remote"/>
    <s v="Presencial"/>
    <x v="3"/>
    <x v="69"/>
    <s v="Alexandre"/>
    <x v="1"/>
    <x v="5"/>
    <x v="2"/>
    <d v="2025-04-20T00:00:00"/>
    <d v="2025-04-25T00:00:00"/>
    <b v="1"/>
    <n v="1"/>
    <b v="1"/>
    <d v="2025-05-02T00:00:00"/>
    <b v="1"/>
    <d v="2025-05-15T00:00:00"/>
    <b v="1"/>
    <d v="2025-05-24T00:00:00"/>
    <n v="86"/>
    <n v="91"/>
    <n v="75"/>
    <b v="1"/>
    <d v="2025-05-27T00:00:00"/>
    <x v="1"/>
    <d v="2025-06-02T00:00:00"/>
    <x v="4"/>
    <x v="0"/>
    <n v="43"/>
    <s v="Pontos fortes em execução e autonomia."/>
  </r>
  <r>
    <n v="111"/>
    <s v="Gabrielly Freitas"/>
    <s v="cda-cunha@bol.com.br"/>
    <s v="REQ-1051"/>
    <x v="0"/>
    <s v="People"/>
    <s v="Rio de Janeiro"/>
    <s v="Híbrido"/>
    <x v="1"/>
    <x v="0"/>
    <s v="Vinicius"/>
    <x v="1"/>
    <x v="2"/>
    <x v="3"/>
    <d v="2025-04-17T00:00:00"/>
    <d v="2025-04-19T00:00:00"/>
    <b v="1"/>
    <n v="1"/>
    <b v="1"/>
    <d v="2025-04-28T00:00:00"/>
    <b v="1"/>
    <d v="2025-05-06T00:00:00"/>
    <b v="1"/>
    <d v="2025-05-07T00:00:00"/>
    <n v="72"/>
    <n v="71"/>
    <n v="70"/>
    <b v="1"/>
    <d v="2025-05-09T00:00:00"/>
    <x v="1"/>
    <d v="2025-05-16T00:00:00"/>
    <x v="4"/>
    <x v="0"/>
    <n v="29"/>
    <s v="Pontos fortes em execução e autonomia."/>
  </r>
  <r>
    <n v="112"/>
    <s v="Sr. Levi Pinto"/>
    <s v="novaesisadora@yahoo.com.br"/>
    <s v="REQ-1085"/>
    <x v="1"/>
    <s v="Data"/>
    <s v="Campinas"/>
    <s v="Híbrido"/>
    <x v="2"/>
    <x v="70"/>
    <s v="Enrico"/>
    <x v="1"/>
    <x v="1"/>
    <x v="2"/>
    <d v="2025-01-09T00:00:00"/>
    <d v="2025-01-09T00:00:00"/>
    <b v="1"/>
    <n v="0"/>
    <b v="1"/>
    <d v="2025-01-14T00:00:00"/>
    <b v="1"/>
    <d v="2025-01-27T00:00:00"/>
    <b v="1"/>
    <d v="2025-02-02T00:00:00"/>
    <n v="67"/>
    <n v="64"/>
    <n v="52"/>
    <b v="0"/>
    <m/>
    <x v="0"/>
    <m/>
    <x v="0"/>
    <x v="0"/>
    <n v="24"/>
    <s v="Demonstrou interesse claro na oportunidade."/>
  </r>
  <r>
    <n v="113"/>
    <s v="Luiz Fernando Nunes"/>
    <s v="alvesnathan@ig.com.br"/>
    <s v="REQ-1058"/>
    <x v="0"/>
    <s v="Tech"/>
    <s v="Belo Horizonte"/>
    <s v="Remoto"/>
    <x v="2"/>
    <x v="25"/>
    <s v="Bernardo"/>
    <x v="3"/>
    <x v="5"/>
    <x v="0"/>
    <d v="2025-04-06T00:00:00"/>
    <d v="2025-04-07T00:00:00"/>
    <b v="1"/>
    <n v="6"/>
    <b v="0"/>
    <m/>
    <b v="0"/>
    <m/>
    <b v="0"/>
    <m/>
    <n v="57"/>
    <n v="70"/>
    <n v="63"/>
    <b v="0"/>
    <m/>
    <x v="0"/>
    <m/>
    <x v="1"/>
    <x v="0"/>
    <n v="1"/>
    <s v="Boa comunicação e resposta rápida."/>
  </r>
  <r>
    <n v="114"/>
    <s v="Fernando Moura"/>
    <s v="vinicius20@gmail.com"/>
    <s v="REQ-1000"/>
    <x v="0"/>
    <s v="Data"/>
    <s v="Campinas"/>
    <s v="Híbrido"/>
    <x v="0"/>
    <x v="3"/>
    <s v="Erick"/>
    <x v="1"/>
    <x v="1"/>
    <x v="0"/>
    <d v="2025-03-10T00:00:00"/>
    <d v="2025-03-13T00:00:00"/>
    <b v="1"/>
    <n v="5"/>
    <b v="0"/>
    <m/>
    <b v="0"/>
    <m/>
    <b v="0"/>
    <m/>
    <n v="72"/>
    <n v="75"/>
    <n v="70"/>
    <b v="0"/>
    <m/>
    <x v="0"/>
    <m/>
    <x v="1"/>
    <x v="6"/>
    <n v="3"/>
    <s v="Bom potencial de evolução."/>
  </r>
  <r>
    <n v="115"/>
    <s v="Ana Vitória Costa"/>
    <s v="benjaminmoura@yahoo.com.br"/>
    <s v="REQ-1088"/>
    <x v="1"/>
    <s v="People"/>
    <s v="Campinas"/>
    <s v="Presencial"/>
    <x v="0"/>
    <x v="24"/>
    <s v="Evelyn"/>
    <x v="2"/>
    <x v="5"/>
    <x v="2"/>
    <d v="2025-03-14T00:00:00"/>
    <d v="2025-03-18T00:00:00"/>
    <b v="1"/>
    <n v="11"/>
    <b v="1"/>
    <d v="2025-03-23T00:00:00"/>
    <b v="0"/>
    <m/>
    <b v="0"/>
    <m/>
    <n v="79"/>
    <n v="74"/>
    <n v="66"/>
    <b v="0"/>
    <m/>
    <x v="0"/>
    <m/>
    <x v="5"/>
    <x v="1"/>
    <n v="9"/>
    <s v="Perfil técnico acima da média."/>
  </r>
  <r>
    <n v="116"/>
    <s v="João Costa"/>
    <s v="theo69@vieira.br"/>
    <s v="REQ-1033"/>
    <x v="1"/>
    <s v="Data"/>
    <s v="Curitiba"/>
    <s v="Híbrido"/>
    <x v="1"/>
    <x v="6"/>
    <s v="Luiz Fernando"/>
    <x v="5"/>
    <x v="0"/>
    <x v="2"/>
    <d v="2025-05-02T00:00:00"/>
    <d v="2025-05-04T00:00:00"/>
    <b v="1"/>
    <n v="11"/>
    <b v="1"/>
    <d v="2025-05-13T00:00:00"/>
    <b v="0"/>
    <m/>
    <b v="0"/>
    <m/>
    <n v="69"/>
    <n v="60"/>
    <n v="61"/>
    <b v="0"/>
    <m/>
    <x v="0"/>
    <m/>
    <x v="5"/>
    <x v="9"/>
    <n v="11"/>
    <s v="Perfil técnico acima da média."/>
  </r>
  <r>
    <n v="117"/>
    <s v="Vitor Hugo da Costa"/>
    <s v="thiago44@rezende.net"/>
    <s v="REQ-1098"/>
    <x v="0"/>
    <s v="Operations"/>
    <s v="Campinas"/>
    <s v="Remoto"/>
    <x v="0"/>
    <x v="54"/>
    <s v="Felipe"/>
    <x v="5"/>
    <x v="0"/>
    <x v="1"/>
    <d v="2025-03-04T00:00:00"/>
    <d v="2025-03-05T00:00:00"/>
    <b v="0"/>
    <m/>
    <b v="0"/>
    <m/>
    <b v="0"/>
    <m/>
    <b v="0"/>
    <m/>
    <n v="83"/>
    <n v="86"/>
    <n v="87"/>
    <b v="0"/>
    <m/>
    <x v="0"/>
    <m/>
    <x v="2"/>
    <x v="1"/>
    <n v="1"/>
    <s v="Pediu prazo adicional para retorno."/>
  </r>
  <r>
    <n v="118"/>
    <s v="Pedro Henrique Porto"/>
    <s v="framos@cavalcanti.org"/>
    <s v="REQ-1070"/>
    <x v="3"/>
    <s v="Operations"/>
    <s v="Curitiba"/>
    <s v="Híbrido"/>
    <x v="2"/>
    <x v="71"/>
    <s v="Joaquim"/>
    <x v="4"/>
    <x v="0"/>
    <x v="2"/>
    <d v="2025-03-19T00:00:00"/>
    <d v="2025-03-24T00:00:00"/>
    <b v="1"/>
    <n v="6"/>
    <b v="1"/>
    <d v="2025-03-28T00:00:00"/>
    <b v="0"/>
    <m/>
    <b v="0"/>
    <m/>
    <n v="61"/>
    <n v="64"/>
    <n v="62"/>
    <b v="0"/>
    <m/>
    <x v="0"/>
    <m/>
    <x v="5"/>
    <x v="0"/>
    <n v="9"/>
    <s v="Pontos fortes em execução e autonomia."/>
  </r>
  <r>
    <n v="119"/>
    <s v="Sabrina Sales"/>
    <s v="mouraelisa@rocha.br"/>
    <s v="REQ-1030"/>
    <x v="2"/>
    <s v="Operations"/>
    <s v="Remote"/>
    <s v="Híbrido"/>
    <x v="2"/>
    <x v="50"/>
    <s v="Gustavo Henrique"/>
    <x v="5"/>
    <x v="2"/>
    <x v="3"/>
    <d v="2025-03-19T00:00:00"/>
    <d v="2025-03-23T00:00:00"/>
    <b v="1"/>
    <n v="2"/>
    <b v="1"/>
    <d v="2025-03-30T00:00:00"/>
    <b v="0"/>
    <m/>
    <b v="0"/>
    <m/>
    <n v="31"/>
    <n v="65"/>
    <n v="55"/>
    <b v="0"/>
    <m/>
    <x v="0"/>
    <m/>
    <x v="5"/>
    <x v="8"/>
    <n v="11"/>
    <s v="Demonstrou interesse claro na oportunidade."/>
  </r>
  <r>
    <n v="120"/>
    <s v="Ryan Jesus"/>
    <s v="kaiqueoliveira@hotmail.com"/>
    <s v="REQ-1033"/>
    <x v="3"/>
    <s v="Data"/>
    <s v="Curitiba"/>
    <s v="Híbrido"/>
    <x v="0"/>
    <x v="14"/>
    <s v="Carlos Eduardo"/>
    <x v="4"/>
    <x v="3"/>
    <x v="1"/>
    <d v="2025-03-29T00:00:00"/>
    <d v="2025-03-29T00:00:00"/>
    <b v="1"/>
    <n v="11"/>
    <b v="1"/>
    <d v="2025-03-31T00:00:00"/>
    <b v="1"/>
    <d v="2025-04-05T00:00:00"/>
    <b v="1"/>
    <d v="2025-04-08T00:00:00"/>
    <n v="66"/>
    <n v="73"/>
    <n v="70"/>
    <b v="0"/>
    <m/>
    <x v="0"/>
    <m/>
    <x v="0"/>
    <x v="0"/>
    <n v="10"/>
    <s v="Boa comunicação e resposta rápida."/>
  </r>
  <r>
    <n v="121"/>
    <s v="Diego das Neves"/>
    <s v="juanda-luz@gmail.com"/>
    <s v="REQ-1022"/>
    <x v="0"/>
    <s v="Data"/>
    <s v="Curitiba"/>
    <s v="Presencial"/>
    <x v="1"/>
    <x v="72"/>
    <s v="Natália"/>
    <x v="5"/>
    <x v="5"/>
    <x v="2"/>
    <d v="2025-04-13T00:00:00"/>
    <d v="2025-04-17T00:00:00"/>
    <b v="0"/>
    <m/>
    <b v="0"/>
    <m/>
    <b v="0"/>
    <m/>
    <b v="0"/>
    <m/>
    <n v="66"/>
    <n v="76"/>
    <n v="69"/>
    <b v="0"/>
    <m/>
    <x v="0"/>
    <m/>
    <x v="2"/>
    <x v="1"/>
    <n v="4"/>
    <s v="Perfil técnico acima da média."/>
  </r>
  <r>
    <n v="122"/>
    <s v="Natália Melo"/>
    <s v="smartins@bol.com.br"/>
    <s v="REQ-1066"/>
    <x v="3"/>
    <s v="Data"/>
    <s v="São Paulo"/>
    <s v="Presencial"/>
    <x v="1"/>
    <x v="0"/>
    <s v="Pedro Lucas"/>
    <x v="1"/>
    <x v="3"/>
    <x v="1"/>
    <d v="2025-03-18T00:00:00"/>
    <d v="2025-03-24T00:00:00"/>
    <b v="1"/>
    <n v="7"/>
    <b v="0"/>
    <m/>
    <b v="0"/>
    <m/>
    <b v="0"/>
    <m/>
    <n v="70"/>
    <n v="72"/>
    <n v="65"/>
    <b v="0"/>
    <m/>
    <x v="0"/>
    <m/>
    <x v="1"/>
    <x v="9"/>
    <n v="6"/>
    <s v="Feedback positivo do gestor."/>
  </r>
  <r>
    <n v="123"/>
    <s v="Guilherme Nogueira"/>
    <s v="maria-clarafarias@bol.com.br"/>
    <s v="REQ-1049"/>
    <x v="2"/>
    <s v="Tech"/>
    <s v="Belo Horizonte"/>
    <s v="Remoto"/>
    <x v="1"/>
    <x v="35"/>
    <s v="Ana Beatriz"/>
    <x v="0"/>
    <x v="5"/>
    <x v="1"/>
    <d v="2025-04-28T00:00:00"/>
    <d v="2025-05-06T00:00:00"/>
    <b v="1"/>
    <n v="9"/>
    <b v="1"/>
    <d v="2025-05-12T00:00:00"/>
    <b v="0"/>
    <m/>
    <b v="0"/>
    <m/>
    <n v="79"/>
    <n v="74"/>
    <n v="76"/>
    <b v="0"/>
    <m/>
    <x v="0"/>
    <m/>
    <x v="5"/>
    <x v="0"/>
    <n v="14"/>
    <s v="Feedback positivo do gestor."/>
  </r>
  <r>
    <n v="124"/>
    <s v="João Gabriel Lima"/>
    <s v="ada-cruz@gmail.com"/>
    <s v="REQ-1008"/>
    <x v="2"/>
    <s v="Tech"/>
    <s v="Belo Horizonte"/>
    <s v="Híbrido"/>
    <x v="0"/>
    <x v="18"/>
    <s v="Emanuella"/>
    <x v="2"/>
    <x v="4"/>
    <x v="3"/>
    <d v="2025-01-11T00:00:00"/>
    <d v="2025-01-11T00:00:00"/>
    <b v="0"/>
    <m/>
    <b v="0"/>
    <m/>
    <b v="0"/>
    <m/>
    <b v="0"/>
    <m/>
    <n v="92"/>
    <n v="74"/>
    <n v="90"/>
    <b v="0"/>
    <m/>
    <x v="0"/>
    <m/>
    <x v="2"/>
    <x v="1"/>
    <n v="0"/>
    <s v="Demonstrou interesse claro na oportunidade."/>
  </r>
  <r>
    <n v="125"/>
    <s v="Igor Sales"/>
    <s v="beniciocavalcanti@uol.com.br"/>
    <s v="REQ-1092"/>
    <x v="2"/>
    <s v="Tech"/>
    <s v="Campinas"/>
    <s v="Remoto"/>
    <x v="1"/>
    <x v="17"/>
    <s v="Francisco"/>
    <x v="2"/>
    <x v="7"/>
    <x v="1"/>
    <d v="2025-05-16T00:00:00"/>
    <d v="2025-05-16T00:00:00"/>
    <b v="1"/>
    <n v="9"/>
    <b v="0"/>
    <m/>
    <b v="0"/>
    <m/>
    <b v="0"/>
    <m/>
    <n v="83"/>
    <n v="62"/>
    <n v="60"/>
    <b v="0"/>
    <m/>
    <x v="0"/>
    <m/>
    <x v="1"/>
    <x v="0"/>
    <n v="0"/>
    <s v="Perfil técnico acima da média."/>
  </r>
  <r>
    <n v="126"/>
    <s v="Ana Carolina Peixoto"/>
    <s v="evelyn30@uol.com.br"/>
    <s v="REQ-1044"/>
    <x v="3"/>
    <s v="Tech"/>
    <s v="Remote"/>
    <s v="Híbrido"/>
    <x v="1"/>
    <x v="62"/>
    <s v="João Guilherme"/>
    <x v="4"/>
    <x v="1"/>
    <x v="2"/>
    <d v="2025-04-28T00:00:00"/>
    <d v="2025-04-28T00:00:00"/>
    <b v="1"/>
    <n v="10"/>
    <b v="1"/>
    <d v="2025-05-02T00:00:00"/>
    <b v="1"/>
    <d v="2025-05-11T00:00:00"/>
    <b v="1"/>
    <d v="2025-05-12T00:00:00"/>
    <n v="90"/>
    <n v="79"/>
    <n v="77"/>
    <b v="1"/>
    <d v="2025-05-13T00:00:00"/>
    <x v="1"/>
    <d v="2025-05-16T00:00:00"/>
    <x v="4"/>
    <x v="0"/>
    <n v="18"/>
    <s v="Pediu prazo adicional para retorno."/>
  </r>
  <r>
    <n v="127"/>
    <s v="Melissa da Cruz"/>
    <s v="raquelpeixoto@cardoso.org"/>
    <s v="REQ-1065"/>
    <x v="2"/>
    <s v="Operations"/>
    <s v="Remote"/>
    <s v="Presencial"/>
    <x v="0"/>
    <x v="64"/>
    <s v="Lucca"/>
    <x v="3"/>
    <x v="0"/>
    <x v="0"/>
    <d v="2025-01-05T00:00:00"/>
    <d v="2025-01-14T00:00:00"/>
    <b v="0"/>
    <m/>
    <b v="0"/>
    <m/>
    <b v="0"/>
    <m/>
    <b v="0"/>
    <m/>
    <n v="100"/>
    <n v="89"/>
    <n v="96"/>
    <b v="0"/>
    <m/>
    <x v="0"/>
    <m/>
    <x v="2"/>
    <x v="1"/>
    <n v="9"/>
    <s v="Pontos fortes em execução e autonomia."/>
  </r>
  <r>
    <n v="128"/>
    <s v="Luiz Fernando Monteiro"/>
    <s v="lcunha@hotmail.com"/>
    <s v="REQ-1003"/>
    <x v="2"/>
    <s v="People"/>
    <s v="Remote"/>
    <s v="Presencial"/>
    <x v="1"/>
    <x v="73"/>
    <s v="Joana"/>
    <x v="5"/>
    <x v="1"/>
    <x v="2"/>
    <d v="2025-03-19T00:00:00"/>
    <d v="2025-03-22T00:00:00"/>
    <b v="1"/>
    <n v="6"/>
    <b v="1"/>
    <d v="2025-03-26T00:00:00"/>
    <b v="1"/>
    <d v="2025-03-29T00:00:00"/>
    <b v="1"/>
    <d v="2025-04-07T00:00:00"/>
    <n v="62"/>
    <n v="87"/>
    <n v="78"/>
    <b v="0"/>
    <m/>
    <x v="0"/>
    <m/>
    <x v="0"/>
    <x v="6"/>
    <n v="19"/>
    <s v="Demonstrou interesse claro na oportunidade."/>
  </r>
  <r>
    <n v="129"/>
    <s v="João Pedro Nascimento"/>
    <s v="freitasana-julia@gmail.com"/>
    <s v="REQ-1017"/>
    <x v="0"/>
    <s v="Data"/>
    <s v="Remote"/>
    <s v="Presencial"/>
    <x v="2"/>
    <x v="17"/>
    <s v="Giovanna"/>
    <x v="2"/>
    <x v="4"/>
    <x v="2"/>
    <d v="2025-04-21T00:00:00"/>
    <d v="2025-04-21T00:00:00"/>
    <b v="0"/>
    <m/>
    <b v="0"/>
    <m/>
    <b v="0"/>
    <m/>
    <b v="0"/>
    <m/>
    <n v="70"/>
    <n v="78"/>
    <n v="75"/>
    <b v="0"/>
    <m/>
    <x v="0"/>
    <m/>
    <x v="2"/>
    <x v="1"/>
    <n v="0"/>
    <s v="Boa comunicação e resposta rápida."/>
  </r>
  <r>
    <n v="130"/>
    <s v="Ana Lívia Lopes"/>
    <s v="correiajoaquim@porto.com"/>
    <s v="REQ-1018"/>
    <x v="2"/>
    <s v="Operations"/>
    <s v="Campinas"/>
    <s v="Remoto"/>
    <x v="3"/>
    <x v="74"/>
    <s v="Maria Fernanda"/>
    <x v="0"/>
    <x v="2"/>
    <x v="3"/>
    <d v="2025-01-15T00:00:00"/>
    <d v="2025-01-15T00:00:00"/>
    <b v="1"/>
    <n v="6"/>
    <b v="1"/>
    <d v="2025-01-25T00:00:00"/>
    <b v="1"/>
    <d v="2025-01-29T00:00:00"/>
    <b v="1"/>
    <d v="2025-02-07T00:00:00"/>
    <n v="58"/>
    <n v="72"/>
    <n v="68"/>
    <b v="0"/>
    <m/>
    <x v="0"/>
    <m/>
    <x v="0"/>
    <x v="9"/>
    <n v="23"/>
    <s v="Experiência sólida, mas expectativa salarial alta."/>
  </r>
  <r>
    <n v="131"/>
    <s v="Dra. Amanda Barbosa"/>
    <s v="fernandestheo@goncalves.br"/>
    <s v="REQ-1053"/>
    <x v="0"/>
    <s v="Tech"/>
    <s v="Belo Horizonte"/>
    <s v="Presencial"/>
    <x v="0"/>
    <x v="65"/>
    <s v="Emanuella"/>
    <x v="1"/>
    <x v="0"/>
    <x v="0"/>
    <d v="2025-05-25T00:00:00"/>
    <d v="2025-05-31T00:00:00"/>
    <b v="1"/>
    <n v="11"/>
    <b v="0"/>
    <m/>
    <b v="0"/>
    <m/>
    <b v="0"/>
    <m/>
    <n v="73"/>
    <n v="81"/>
    <n v="75"/>
    <b v="0"/>
    <m/>
    <x v="0"/>
    <m/>
    <x v="1"/>
    <x v="0"/>
    <n v="6"/>
    <s v="Boa comunicação e resposta rápida."/>
  </r>
  <r>
    <n v="132"/>
    <s v="Daniela Souza"/>
    <s v="ana-carolinada-cruz@ig.com.br"/>
    <s v="REQ-1014"/>
    <x v="2"/>
    <s v="People"/>
    <s v="Rio de Janeiro"/>
    <s v="Remoto"/>
    <x v="2"/>
    <x v="75"/>
    <s v="Calebe"/>
    <x v="0"/>
    <x v="0"/>
    <x v="0"/>
    <d v="2025-02-25T00:00:00"/>
    <d v="2025-03-01T00:00:00"/>
    <b v="1"/>
    <n v="1"/>
    <b v="0"/>
    <m/>
    <b v="0"/>
    <m/>
    <b v="0"/>
    <m/>
    <n v="64"/>
    <n v="72"/>
    <n v="65"/>
    <b v="0"/>
    <m/>
    <x v="0"/>
    <m/>
    <x v="1"/>
    <x v="5"/>
    <n v="4"/>
    <s v="Baixa responsividade nas etapas iniciais."/>
  </r>
  <r>
    <n v="133"/>
    <s v="Heitor Fernandes"/>
    <s v="maria-eduardanunes@moreira.br"/>
    <s v="REQ-1053"/>
    <x v="2"/>
    <s v="People"/>
    <s v="Rio de Janeiro"/>
    <s v="Presencial"/>
    <x v="1"/>
    <x v="61"/>
    <s v="Raquel"/>
    <x v="3"/>
    <x v="0"/>
    <x v="0"/>
    <d v="2025-05-15T00:00:00"/>
    <d v="2025-05-16T00:00:00"/>
    <b v="0"/>
    <m/>
    <b v="0"/>
    <m/>
    <b v="0"/>
    <m/>
    <b v="0"/>
    <m/>
    <n v="75"/>
    <n v="79"/>
    <n v="76"/>
    <b v="0"/>
    <m/>
    <x v="0"/>
    <m/>
    <x v="2"/>
    <x v="1"/>
    <n v="1"/>
    <s v="Feedback positivo do gestor."/>
  </r>
  <r>
    <n v="134"/>
    <s v="Ana Vitória Castro"/>
    <s v="bernardoda-conceicao@monteiro.br"/>
    <s v="REQ-1043"/>
    <x v="0"/>
    <s v="Operations"/>
    <s v="Rio de Janeiro"/>
    <s v="Remoto"/>
    <x v="1"/>
    <x v="39"/>
    <s v="Calebe"/>
    <x v="3"/>
    <x v="4"/>
    <x v="2"/>
    <d v="2025-05-08T00:00:00"/>
    <d v="2025-05-09T00:00:00"/>
    <b v="0"/>
    <m/>
    <b v="0"/>
    <m/>
    <b v="0"/>
    <m/>
    <b v="0"/>
    <m/>
    <n v="53"/>
    <n v="69"/>
    <n v="57"/>
    <b v="0"/>
    <m/>
    <x v="0"/>
    <m/>
    <x v="2"/>
    <x v="1"/>
    <n v="1"/>
    <s v="Feedback positivo do gestor."/>
  </r>
  <r>
    <n v="135"/>
    <s v="Ana Júlia Cavalcanti"/>
    <s v="gabriel30@uol.com.br"/>
    <s v="REQ-1066"/>
    <x v="2"/>
    <s v="Tech"/>
    <s v="Belo Horizonte"/>
    <s v="Híbrido"/>
    <x v="1"/>
    <x v="24"/>
    <s v="Julia"/>
    <x v="4"/>
    <x v="0"/>
    <x v="2"/>
    <d v="2025-03-30T00:00:00"/>
    <d v="2025-03-30T00:00:00"/>
    <b v="0"/>
    <m/>
    <b v="0"/>
    <m/>
    <b v="0"/>
    <m/>
    <b v="0"/>
    <m/>
    <n v="65"/>
    <n v="77"/>
    <n v="53"/>
    <b v="0"/>
    <m/>
    <x v="0"/>
    <m/>
    <x v="2"/>
    <x v="1"/>
    <n v="0"/>
    <s v="Demonstrou interesse claro na oportunidade."/>
  </r>
  <r>
    <n v="136"/>
    <s v="Sra. Alícia Silveira"/>
    <s v="beatrizgoncalves@ferreira.com"/>
    <s v="REQ-1081"/>
    <x v="1"/>
    <s v="People"/>
    <s v="Campinas"/>
    <s v="Híbrido"/>
    <x v="0"/>
    <x v="13"/>
    <s v="Daniel"/>
    <x v="1"/>
    <x v="6"/>
    <x v="1"/>
    <d v="2025-04-10T00:00:00"/>
    <d v="2025-04-11T00:00:00"/>
    <b v="1"/>
    <n v="6"/>
    <b v="0"/>
    <m/>
    <b v="0"/>
    <m/>
    <b v="0"/>
    <m/>
    <n v="72"/>
    <n v="72"/>
    <n v="80"/>
    <b v="0"/>
    <m/>
    <x v="0"/>
    <m/>
    <x v="1"/>
    <x v="4"/>
    <n v="1"/>
    <s v="Bom potencial de evolução."/>
  </r>
  <r>
    <n v="137"/>
    <s v="Sofia Souza"/>
    <s v="erick52@goncalves.br"/>
    <s v="REQ-1088"/>
    <x v="2"/>
    <s v="People"/>
    <s v="São Paulo"/>
    <s v="Remoto"/>
    <x v="0"/>
    <x v="76"/>
    <s v="Eduarda"/>
    <x v="2"/>
    <x v="1"/>
    <x v="2"/>
    <d v="2025-04-23T00:00:00"/>
    <d v="2025-04-24T00:00:00"/>
    <b v="0"/>
    <m/>
    <b v="0"/>
    <m/>
    <b v="0"/>
    <m/>
    <b v="0"/>
    <m/>
    <n v="95"/>
    <n v="68"/>
    <n v="77"/>
    <b v="0"/>
    <m/>
    <x v="0"/>
    <m/>
    <x v="2"/>
    <x v="1"/>
    <n v="1"/>
    <s v="Apresentou aderência forte ao contexto da vaga."/>
  </r>
  <r>
    <n v="138"/>
    <s v="Julia Nogueira"/>
    <s v="nathan21@lopes.net"/>
    <s v="REQ-1030"/>
    <x v="1"/>
    <s v="Tech"/>
    <s v="Campinas"/>
    <s v="Presencial"/>
    <x v="1"/>
    <x v="27"/>
    <s v="Nicolas"/>
    <x v="2"/>
    <x v="7"/>
    <x v="1"/>
    <d v="2025-01-24T00:00:00"/>
    <d v="2025-01-28T00:00:00"/>
    <b v="0"/>
    <m/>
    <b v="0"/>
    <m/>
    <b v="0"/>
    <m/>
    <b v="0"/>
    <m/>
    <n v="67"/>
    <n v="77"/>
    <n v="84"/>
    <b v="0"/>
    <m/>
    <x v="0"/>
    <m/>
    <x v="2"/>
    <x v="1"/>
    <n v="4"/>
    <s v="Perfil técnico acima da média."/>
  </r>
  <r>
    <n v="139"/>
    <s v="Sr. Raul Fernandes"/>
    <s v="martinscarlos-eduardo@vieira.br"/>
    <s v="REQ-1067"/>
    <x v="3"/>
    <s v="Operations"/>
    <s v="Belo Horizonte"/>
    <s v="Remoto"/>
    <x v="1"/>
    <x v="62"/>
    <s v="Breno"/>
    <x v="5"/>
    <x v="1"/>
    <x v="0"/>
    <d v="2025-03-10T00:00:00"/>
    <d v="2025-03-10T00:00:00"/>
    <b v="0"/>
    <m/>
    <b v="0"/>
    <m/>
    <b v="0"/>
    <m/>
    <b v="0"/>
    <m/>
    <n v="65"/>
    <n v="76"/>
    <n v="63"/>
    <b v="0"/>
    <m/>
    <x v="0"/>
    <m/>
    <x v="2"/>
    <x v="1"/>
    <n v="0"/>
    <s v="Pontos fortes em execução e autonomia."/>
  </r>
  <r>
    <n v="140"/>
    <s v="Sra. Evelyn Cavalcanti"/>
    <s v="silvaana-luiza@bol.com.br"/>
    <s v="REQ-1023"/>
    <x v="3"/>
    <s v="Operations"/>
    <s v="Rio de Janeiro"/>
    <s v="Presencial"/>
    <x v="3"/>
    <x v="77"/>
    <s v="Yago"/>
    <x v="4"/>
    <x v="1"/>
    <x v="1"/>
    <d v="2025-04-07T00:00:00"/>
    <d v="2025-04-13T00:00:00"/>
    <b v="1"/>
    <n v="8"/>
    <b v="0"/>
    <m/>
    <b v="0"/>
    <m/>
    <b v="0"/>
    <m/>
    <n v="63"/>
    <n v="71"/>
    <n v="65"/>
    <b v="0"/>
    <m/>
    <x v="0"/>
    <m/>
    <x v="1"/>
    <x v="7"/>
    <n v="6"/>
    <s v="Baixa responsividade nas etapas iniciais."/>
  </r>
  <r>
    <n v="141"/>
    <s v="Yasmin Azevedo"/>
    <s v="bgomes@cavalcanti.com"/>
    <s v="REQ-1024"/>
    <x v="0"/>
    <s v="Operations"/>
    <s v="Campinas"/>
    <s v="Híbrido"/>
    <x v="1"/>
    <x v="0"/>
    <s v="Emanuel"/>
    <x v="3"/>
    <x v="7"/>
    <x v="1"/>
    <d v="2025-01-12T00:00:00"/>
    <d v="2025-01-20T00:00:00"/>
    <b v="1"/>
    <n v="4"/>
    <b v="1"/>
    <d v="2025-01-27T00:00:00"/>
    <b v="1"/>
    <d v="2025-01-30T00:00:00"/>
    <b v="1"/>
    <d v="2025-02-01T00:00:00"/>
    <n v="61"/>
    <n v="60"/>
    <n v="71"/>
    <b v="0"/>
    <m/>
    <x v="0"/>
    <m/>
    <x v="0"/>
    <x v="1"/>
    <n v="20"/>
    <s v="Baixa responsividade nas etapas iniciais."/>
  </r>
  <r>
    <n v="142"/>
    <s v="Srta. Lívia da Cruz"/>
    <s v="ana-claracastro@hotmail.com"/>
    <s v="REQ-1068"/>
    <x v="1"/>
    <s v="Tech"/>
    <s v="Remote"/>
    <s v="Híbrido"/>
    <x v="1"/>
    <x v="46"/>
    <s v="João Felipe"/>
    <x v="1"/>
    <x v="7"/>
    <x v="1"/>
    <d v="2025-03-09T00:00:00"/>
    <d v="2025-03-09T00:00:00"/>
    <b v="1"/>
    <n v="4"/>
    <b v="1"/>
    <d v="2025-03-10T00:00:00"/>
    <b v="1"/>
    <d v="2025-03-17T00:00:00"/>
    <b v="1"/>
    <d v="2025-03-20T00:00:00"/>
    <n v="80"/>
    <n v="94"/>
    <n v="100"/>
    <b v="1"/>
    <d v="2025-03-21T00:00:00"/>
    <x v="0"/>
    <m/>
    <x v="6"/>
    <x v="0"/>
    <n v="12"/>
    <s v="Pediu prazo adicional para retorno."/>
  </r>
  <r>
    <n v="143"/>
    <s v="Bárbara da Rocha"/>
    <s v="benicio17@mendes.com"/>
    <s v="REQ-1086"/>
    <x v="2"/>
    <s v="Data"/>
    <s v="Belo Horizonte"/>
    <s v="Remoto"/>
    <x v="2"/>
    <x v="49"/>
    <s v="Marcelo"/>
    <x v="5"/>
    <x v="0"/>
    <x v="1"/>
    <d v="2025-04-03T00:00:00"/>
    <d v="2025-04-10T00:00:00"/>
    <b v="1"/>
    <n v="11"/>
    <b v="1"/>
    <d v="2025-04-19T00:00:00"/>
    <b v="1"/>
    <d v="2025-04-28T00:00:00"/>
    <b v="0"/>
    <m/>
    <n v="72"/>
    <n v="61"/>
    <n v="63"/>
    <b v="0"/>
    <m/>
    <x v="0"/>
    <m/>
    <x v="3"/>
    <x v="4"/>
    <n v="25"/>
    <s v="Feedback positivo do gestor."/>
  </r>
  <r>
    <n v="144"/>
    <s v="Kevin Sales"/>
    <s v="brenosilva@da.br"/>
    <s v="REQ-1096"/>
    <x v="0"/>
    <s v="Tech"/>
    <s v="Belo Horizonte"/>
    <s v="Presencial"/>
    <x v="1"/>
    <x v="62"/>
    <s v="Ana Luiza"/>
    <x v="5"/>
    <x v="5"/>
    <x v="0"/>
    <d v="2025-01-06T00:00:00"/>
    <d v="2025-01-07T00:00:00"/>
    <b v="0"/>
    <m/>
    <b v="0"/>
    <m/>
    <b v="0"/>
    <m/>
    <b v="0"/>
    <m/>
    <n v="88"/>
    <n v="70"/>
    <n v="67"/>
    <b v="0"/>
    <m/>
    <x v="0"/>
    <m/>
    <x v="2"/>
    <x v="1"/>
    <n v="1"/>
    <s v="Boa comunicação e resposta rápida."/>
  </r>
  <r>
    <n v="145"/>
    <s v="Carlos Eduardo Lima"/>
    <s v="teixeiracaio@yahoo.com.br"/>
    <s v="REQ-1078"/>
    <x v="3"/>
    <s v="Tech"/>
    <s v="Curitiba"/>
    <s v="Presencial"/>
    <x v="0"/>
    <x v="78"/>
    <s v="Noah"/>
    <x v="5"/>
    <x v="6"/>
    <x v="1"/>
    <d v="2025-03-16T00:00:00"/>
    <d v="2025-03-19T00:00:00"/>
    <b v="1"/>
    <n v="9"/>
    <b v="1"/>
    <d v="2025-03-28T00:00:00"/>
    <b v="0"/>
    <m/>
    <b v="0"/>
    <m/>
    <n v="68"/>
    <n v="71"/>
    <n v="45"/>
    <b v="0"/>
    <m/>
    <x v="0"/>
    <m/>
    <x v="5"/>
    <x v="0"/>
    <n v="12"/>
    <s v="Baixa responsividade nas etapas iniciais."/>
  </r>
  <r>
    <n v="146"/>
    <s v="Lívia Almeida"/>
    <s v="rpereira@ig.com.br"/>
    <s v="REQ-1060"/>
    <x v="2"/>
    <s v="Data"/>
    <s v="Belo Horizonte"/>
    <s v="Remoto"/>
    <x v="3"/>
    <x v="51"/>
    <s v="Maria Luiza"/>
    <x v="2"/>
    <x v="7"/>
    <x v="2"/>
    <d v="2025-04-19T00:00:00"/>
    <d v="2025-04-22T00:00:00"/>
    <b v="1"/>
    <n v="8"/>
    <b v="1"/>
    <d v="2025-04-27T00:00:00"/>
    <b v="1"/>
    <d v="2025-05-01T00:00:00"/>
    <b v="1"/>
    <d v="2025-05-07T00:00:00"/>
    <n v="76"/>
    <n v="85"/>
    <n v="79"/>
    <b v="0"/>
    <m/>
    <x v="0"/>
    <m/>
    <x v="0"/>
    <x v="0"/>
    <n v="18"/>
    <s v="Pediu prazo adicional para retorno."/>
  </r>
  <r>
    <n v="147"/>
    <s v="Ana Julia Carvalho"/>
    <s v="helenacardoso@teixeira.org"/>
    <s v="REQ-1047"/>
    <x v="0"/>
    <s v="People"/>
    <s v="São Paulo"/>
    <s v="Híbrido"/>
    <x v="0"/>
    <x v="66"/>
    <s v="Bárbara"/>
    <x v="4"/>
    <x v="1"/>
    <x v="2"/>
    <d v="2025-05-09T00:00:00"/>
    <d v="2025-05-09T00:00:00"/>
    <b v="1"/>
    <n v="8"/>
    <b v="1"/>
    <d v="2025-05-10T00:00:00"/>
    <b v="1"/>
    <d v="2025-05-14T00:00:00"/>
    <b v="0"/>
    <m/>
    <n v="88"/>
    <n v="79"/>
    <n v="84"/>
    <b v="0"/>
    <m/>
    <x v="0"/>
    <m/>
    <x v="3"/>
    <x v="0"/>
    <n v="5"/>
    <s v="Bom potencial de evolução."/>
  </r>
  <r>
    <n v="148"/>
    <s v="Maria Cecília Silva"/>
    <s v="jesusmarcelo@hotmail.com"/>
    <s v="REQ-1090"/>
    <x v="3"/>
    <s v="People"/>
    <s v="São Paulo"/>
    <s v="Presencial"/>
    <x v="1"/>
    <x v="39"/>
    <s v="Samuel"/>
    <x v="0"/>
    <x v="6"/>
    <x v="3"/>
    <d v="2025-04-30T00:00:00"/>
    <d v="2025-05-03T00:00:00"/>
    <b v="1"/>
    <n v="2"/>
    <b v="0"/>
    <m/>
    <b v="0"/>
    <m/>
    <b v="0"/>
    <m/>
    <n v="73"/>
    <n v="76"/>
    <n v="69"/>
    <b v="0"/>
    <m/>
    <x v="0"/>
    <m/>
    <x v="1"/>
    <x v="1"/>
    <n v="3"/>
    <s v="Perfil técnico acima da média."/>
  </r>
  <r>
    <n v="149"/>
    <s v="Gabriel Duarte"/>
    <s v="da-luzmaria-eduarda@bol.com.br"/>
    <s v="REQ-1082"/>
    <x v="0"/>
    <s v="People"/>
    <s v="Belo Horizonte"/>
    <s v="Híbrido"/>
    <x v="0"/>
    <x v="79"/>
    <s v="Lavínia"/>
    <x v="1"/>
    <x v="6"/>
    <x v="1"/>
    <d v="2025-05-24T00:00:00"/>
    <d v="2025-05-24T00:00:00"/>
    <b v="1"/>
    <n v="1"/>
    <b v="0"/>
    <m/>
    <b v="0"/>
    <m/>
    <b v="0"/>
    <m/>
    <n v="57"/>
    <n v="97"/>
    <n v="75"/>
    <b v="0"/>
    <m/>
    <x v="0"/>
    <m/>
    <x v="1"/>
    <x v="0"/>
    <n v="0"/>
    <s v="Baixa responsividade nas etapas iniciais."/>
  </r>
  <r>
    <n v="150"/>
    <s v="Maria Luiza Ribeiro"/>
    <s v="bernardomoraes@barbosa.br"/>
    <s v="REQ-1044"/>
    <x v="0"/>
    <s v="Tech"/>
    <s v="Belo Horizonte"/>
    <s v="Remoto"/>
    <x v="0"/>
    <x v="3"/>
    <s v="Caroline"/>
    <x v="0"/>
    <x v="7"/>
    <x v="3"/>
    <d v="2025-05-12T00:00:00"/>
    <d v="2025-05-14T00:00:00"/>
    <b v="1"/>
    <n v="4"/>
    <b v="1"/>
    <d v="2025-05-17T00:00:00"/>
    <b v="0"/>
    <m/>
    <b v="0"/>
    <m/>
    <n v="64"/>
    <n v="82"/>
    <n v="76"/>
    <b v="0"/>
    <m/>
    <x v="0"/>
    <m/>
    <x v="5"/>
    <x v="0"/>
    <n v="5"/>
    <s v="Baixa responsividade nas etapas iniciais."/>
  </r>
  <r>
    <n v="151"/>
    <s v="Cecília das Neves"/>
    <s v="caioda-cruz@yahoo.com.br"/>
    <s v="REQ-1050"/>
    <x v="2"/>
    <s v="Tech"/>
    <s v="Belo Horizonte"/>
    <s v="Presencial"/>
    <x v="0"/>
    <x v="45"/>
    <s v="Marcelo"/>
    <x v="3"/>
    <x v="7"/>
    <x v="3"/>
    <d v="2025-03-16T00:00:00"/>
    <d v="2025-03-16T00:00:00"/>
    <b v="1"/>
    <n v="5"/>
    <b v="1"/>
    <d v="2025-03-22T00:00:00"/>
    <b v="1"/>
    <d v="2025-03-25T00:00:00"/>
    <b v="1"/>
    <d v="2025-03-29T00:00:00"/>
    <n v="62"/>
    <n v="85"/>
    <n v="81"/>
    <b v="0"/>
    <m/>
    <x v="0"/>
    <m/>
    <x v="0"/>
    <x v="9"/>
    <n v="13"/>
    <s v="Pediu prazo adicional para retorno."/>
  </r>
  <r>
    <n v="152"/>
    <s v="Mirella da Rosa"/>
    <s v="joao-vitormoreira@hotmail.com"/>
    <s v="REQ-1034"/>
    <x v="2"/>
    <s v="Operations"/>
    <s v="São Paulo"/>
    <s v="Presencial"/>
    <x v="1"/>
    <x v="80"/>
    <s v="Lorenzo"/>
    <x v="4"/>
    <x v="1"/>
    <x v="0"/>
    <d v="2025-05-11T00:00:00"/>
    <d v="2025-05-13T00:00:00"/>
    <b v="1"/>
    <n v="3"/>
    <b v="1"/>
    <d v="2025-05-17T00:00:00"/>
    <b v="1"/>
    <d v="2025-05-20T00:00:00"/>
    <b v="1"/>
    <d v="2025-05-29T00:00:00"/>
    <n v="72"/>
    <n v="67"/>
    <n v="60"/>
    <b v="0"/>
    <m/>
    <x v="0"/>
    <m/>
    <x v="0"/>
    <x v="8"/>
    <n v="18"/>
    <s v="Experiência sólida, mas expectativa salarial alta."/>
  </r>
  <r>
    <n v="153"/>
    <s v="Lorena Castro"/>
    <s v="santosmariana@ig.com.br"/>
    <s v="REQ-1017"/>
    <x v="3"/>
    <s v="Data"/>
    <s v="Campinas"/>
    <s v="Presencial"/>
    <x v="1"/>
    <x v="2"/>
    <s v="André"/>
    <x v="2"/>
    <x v="7"/>
    <x v="1"/>
    <d v="2025-02-27T00:00:00"/>
    <d v="2025-03-01T00:00:00"/>
    <b v="0"/>
    <m/>
    <b v="0"/>
    <m/>
    <b v="0"/>
    <m/>
    <b v="0"/>
    <m/>
    <n v="64"/>
    <n v="67"/>
    <n v="68"/>
    <b v="0"/>
    <m/>
    <x v="0"/>
    <m/>
    <x v="2"/>
    <x v="1"/>
    <n v="2"/>
    <s v="Demonstrou interesse claro na oportunidade."/>
  </r>
  <r>
    <n v="154"/>
    <s v="Benício Costa"/>
    <s v="kda-cruz@fogaca.com"/>
    <s v="REQ-1038"/>
    <x v="1"/>
    <s v="Data"/>
    <s v="São Paulo"/>
    <s v="Híbrido"/>
    <x v="0"/>
    <x v="45"/>
    <s v="Theo"/>
    <x v="4"/>
    <x v="0"/>
    <x v="3"/>
    <d v="2025-03-24T00:00:00"/>
    <d v="2025-04-01T00:00:00"/>
    <b v="1"/>
    <n v="5"/>
    <b v="1"/>
    <d v="2025-04-11T00:00:00"/>
    <b v="1"/>
    <d v="2025-04-25T00:00:00"/>
    <b v="1"/>
    <d v="2025-04-28T00:00:00"/>
    <n v="100"/>
    <n v="83"/>
    <n v="88"/>
    <b v="0"/>
    <m/>
    <x v="0"/>
    <m/>
    <x v="0"/>
    <x v="9"/>
    <n v="35"/>
    <s v="Perfil técnico acima da média."/>
  </r>
  <r>
    <n v="155"/>
    <s v="Esther da Paz"/>
    <s v="moraesnathan@yahoo.com.br"/>
    <s v="REQ-1099"/>
    <x v="0"/>
    <s v="Data"/>
    <s v="Campinas"/>
    <s v="Remoto"/>
    <x v="1"/>
    <x v="81"/>
    <s v="Caroline"/>
    <x v="2"/>
    <x v="0"/>
    <x v="3"/>
    <d v="2025-03-19T00:00:00"/>
    <d v="2025-03-25T00:00:00"/>
    <b v="1"/>
    <n v="2"/>
    <b v="0"/>
    <m/>
    <b v="0"/>
    <m/>
    <b v="0"/>
    <m/>
    <n v="76"/>
    <n v="76"/>
    <n v="85"/>
    <b v="0"/>
    <m/>
    <x v="0"/>
    <m/>
    <x v="1"/>
    <x v="0"/>
    <n v="6"/>
    <s v="Demonstrou interesse claro na oportunidade."/>
  </r>
  <r>
    <n v="156"/>
    <s v="Marina das Neves"/>
    <s v="joaoda-cunha@ig.com.br"/>
    <s v="REQ-1018"/>
    <x v="2"/>
    <s v="Data"/>
    <s v="Rio de Janeiro"/>
    <s v="Presencial"/>
    <x v="1"/>
    <x v="26"/>
    <s v="Sophia"/>
    <x v="0"/>
    <x v="2"/>
    <x v="2"/>
    <d v="2025-02-06T00:00:00"/>
    <d v="2025-02-10T00:00:00"/>
    <b v="1"/>
    <n v="2"/>
    <b v="0"/>
    <m/>
    <b v="0"/>
    <m/>
    <b v="0"/>
    <m/>
    <n v="71"/>
    <n v="87"/>
    <n v="82"/>
    <b v="0"/>
    <m/>
    <x v="0"/>
    <m/>
    <x v="1"/>
    <x v="0"/>
    <n v="4"/>
    <s v="Feedback positivo do gestor."/>
  </r>
  <r>
    <n v="157"/>
    <s v="Alícia Almeida"/>
    <s v="kmonteiro@ig.com.br"/>
    <s v="REQ-1053"/>
    <x v="3"/>
    <s v="People"/>
    <s v="Remote"/>
    <s v="Presencial"/>
    <x v="1"/>
    <x v="81"/>
    <s v="Evelyn"/>
    <x v="1"/>
    <x v="7"/>
    <x v="3"/>
    <d v="2025-02-02T00:00:00"/>
    <d v="2025-02-03T00:00:00"/>
    <b v="0"/>
    <m/>
    <b v="0"/>
    <m/>
    <b v="0"/>
    <m/>
    <b v="0"/>
    <m/>
    <n v="56"/>
    <n v="77"/>
    <n v="65"/>
    <b v="0"/>
    <m/>
    <x v="0"/>
    <m/>
    <x v="2"/>
    <x v="1"/>
    <n v="1"/>
    <s v="Boa comunicação e resposta rápida."/>
  </r>
  <r>
    <n v="158"/>
    <s v="Nina Souza"/>
    <s v="clara00@gmail.com"/>
    <s v="REQ-1063"/>
    <x v="1"/>
    <s v="Data"/>
    <s v="Belo Horizonte"/>
    <s v="Remoto"/>
    <x v="1"/>
    <x v="56"/>
    <s v="Ana Luiza"/>
    <x v="0"/>
    <x v="3"/>
    <x v="1"/>
    <d v="2025-04-12T00:00:00"/>
    <d v="2025-04-14T00:00:00"/>
    <b v="1"/>
    <n v="10"/>
    <b v="1"/>
    <d v="2025-04-15T00:00:00"/>
    <b v="1"/>
    <d v="2025-04-28T00:00:00"/>
    <b v="1"/>
    <d v="2025-04-29T00:00:00"/>
    <n v="100"/>
    <n v="58"/>
    <n v="77"/>
    <b v="0"/>
    <m/>
    <x v="0"/>
    <m/>
    <x v="0"/>
    <x v="1"/>
    <n v="17"/>
    <s v="Bom potencial de evolução."/>
  </r>
  <r>
    <n v="159"/>
    <s v="Diego Castro"/>
    <s v="marcos-viniciusporto@da.br"/>
    <s v="REQ-1002"/>
    <x v="2"/>
    <s v="People"/>
    <s v="Curitiba"/>
    <s v="Híbrido"/>
    <x v="3"/>
    <x v="82"/>
    <s v="Mariana"/>
    <x v="1"/>
    <x v="5"/>
    <x v="0"/>
    <d v="2025-02-13T00:00:00"/>
    <d v="2025-02-16T00:00:00"/>
    <b v="1"/>
    <n v="4"/>
    <b v="1"/>
    <d v="2025-02-26T00:00:00"/>
    <b v="1"/>
    <d v="2025-03-07T00:00:00"/>
    <b v="1"/>
    <d v="2025-03-17T00:00:00"/>
    <n v="71"/>
    <n v="79"/>
    <n v="62"/>
    <b v="0"/>
    <m/>
    <x v="0"/>
    <m/>
    <x v="0"/>
    <x v="3"/>
    <n v="32"/>
    <s v="Experiência sólida, mas expectativa salarial alta."/>
  </r>
  <r>
    <n v="160"/>
    <s v="Larissa Mendes"/>
    <s v="ijesus@gmail.com"/>
    <s v="REQ-1065"/>
    <x v="1"/>
    <s v="Tech"/>
    <s v="Rio de Janeiro"/>
    <s v="Presencial"/>
    <x v="1"/>
    <x v="75"/>
    <s v="Pedro Henrique"/>
    <x v="5"/>
    <x v="4"/>
    <x v="3"/>
    <d v="2025-03-10T00:00:00"/>
    <d v="2025-03-10T00:00:00"/>
    <b v="1"/>
    <n v="0"/>
    <b v="1"/>
    <d v="2025-03-14T00:00:00"/>
    <b v="1"/>
    <d v="2025-03-19T00:00:00"/>
    <b v="1"/>
    <d v="2025-03-22T00:00:00"/>
    <n v="67"/>
    <n v="81"/>
    <n v="87"/>
    <b v="0"/>
    <m/>
    <x v="0"/>
    <m/>
    <x v="0"/>
    <x v="2"/>
    <n v="12"/>
    <s v="Baixa responsividade nas etapas iniciais."/>
  </r>
  <r>
    <n v="161"/>
    <s v="Noah Nunes"/>
    <s v="zfogaca@yahoo.com.br"/>
    <s v="REQ-1080"/>
    <x v="3"/>
    <s v="Operations"/>
    <s v="São Paulo"/>
    <s v="Presencial"/>
    <x v="3"/>
    <x v="83"/>
    <s v="João"/>
    <x v="0"/>
    <x v="3"/>
    <x v="1"/>
    <d v="2025-02-27T00:00:00"/>
    <d v="2025-02-27T00:00:00"/>
    <b v="0"/>
    <m/>
    <b v="0"/>
    <m/>
    <b v="0"/>
    <m/>
    <b v="0"/>
    <m/>
    <n v="89"/>
    <n v="75"/>
    <n v="90"/>
    <b v="0"/>
    <m/>
    <x v="0"/>
    <m/>
    <x v="2"/>
    <x v="1"/>
    <n v="0"/>
    <s v="Pontos fortes em execução e autonomia."/>
  </r>
  <r>
    <n v="162"/>
    <s v="Letícia Duarte"/>
    <s v="bianca69@uol.com.br"/>
    <s v="REQ-1078"/>
    <x v="0"/>
    <s v="Data"/>
    <s v="Campinas"/>
    <s v="Híbrido"/>
    <x v="1"/>
    <x v="0"/>
    <s v="Fernanda"/>
    <x v="4"/>
    <x v="4"/>
    <x v="0"/>
    <d v="2025-03-01T00:00:00"/>
    <d v="2025-03-03T00:00:00"/>
    <b v="1"/>
    <n v="10"/>
    <b v="1"/>
    <d v="2025-03-04T00:00:00"/>
    <b v="1"/>
    <d v="2025-03-06T00:00:00"/>
    <b v="1"/>
    <d v="2025-03-07T00:00:00"/>
    <n v="55"/>
    <n v="82"/>
    <n v="68"/>
    <b v="0"/>
    <m/>
    <x v="0"/>
    <m/>
    <x v="0"/>
    <x v="2"/>
    <n v="6"/>
    <s v="Perfil técnico acima da média."/>
  </r>
  <r>
    <n v="163"/>
    <s v="Lucas Pereira"/>
    <s v="viniciussouza@das.com"/>
    <s v="REQ-1041"/>
    <x v="3"/>
    <s v="Tech"/>
    <s v="Curitiba"/>
    <s v="Presencial"/>
    <x v="0"/>
    <x v="32"/>
    <s v="Catarina"/>
    <x v="4"/>
    <x v="2"/>
    <x v="0"/>
    <d v="2025-02-15T00:00:00"/>
    <d v="2025-02-18T00:00:00"/>
    <b v="0"/>
    <m/>
    <b v="0"/>
    <m/>
    <b v="0"/>
    <m/>
    <b v="0"/>
    <m/>
    <n v="75"/>
    <n v="62"/>
    <n v="81"/>
    <b v="0"/>
    <m/>
    <x v="0"/>
    <m/>
    <x v="2"/>
    <x v="1"/>
    <n v="3"/>
    <s v="Apresentou aderência forte ao contexto da vaga."/>
  </r>
  <r>
    <n v="164"/>
    <s v="Igor Dias"/>
    <s v="andre34@ig.com.br"/>
    <s v="REQ-1027"/>
    <x v="0"/>
    <s v="Tech"/>
    <s v="Rio de Janeiro"/>
    <s v="Remoto"/>
    <x v="1"/>
    <x v="53"/>
    <s v="Sofia"/>
    <x v="0"/>
    <x v="5"/>
    <x v="2"/>
    <d v="2025-05-18T00:00:00"/>
    <d v="2025-05-21T00:00:00"/>
    <b v="1"/>
    <n v="7"/>
    <b v="1"/>
    <d v="2025-05-30T00:00:00"/>
    <b v="1"/>
    <d v="2025-06-10T00:00:00"/>
    <b v="1"/>
    <d v="2025-06-20T00:00:00"/>
    <n v="92"/>
    <n v="47"/>
    <n v="67"/>
    <b v="0"/>
    <m/>
    <x v="0"/>
    <m/>
    <x v="0"/>
    <x v="7"/>
    <n v="33"/>
    <s v="Pontos fortes em execução e autonomia."/>
  </r>
  <r>
    <n v="165"/>
    <s v="Maria Vitória Nunes"/>
    <s v="davicunha@carvalho.br"/>
    <s v="REQ-1094"/>
    <x v="1"/>
    <s v="Tech"/>
    <s v="São Paulo"/>
    <s v="Remoto"/>
    <x v="2"/>
    <x v="84"/>
    <s v="Samuel"/>
    <x v="3"/>
    <x v="1"/>
    <x v="3"/>
    <d v="2025-04-15T00:00:00"/>
    <d v="2025-04-18T00:00:00"/>
    <b v="1"/>
    <n v="5"/>
    <b v="1"/>
    <d v="2025-04-22T00:00:00"/>
    <b v="1"/>
    <d v="2025-04-24T00:00:00"/>
    <b v="1"/>
    <d v="2025-05-04T00:00:00"/>
    <n v="87"/>
    <n v="76"/>
    <n v="72"/>
    <b v="0"/>
    <m/>
    <x v="0"/>
    <m/>
    <x v="0"/>
    <x v="6"/>
    <n v="19"/>
    <s v="Pediu prazo adicional para retorno."/>
  </r>
  <r>
    <n v="166"/>
    <s v="Antônio Nogueira"/>
    <s v="ana-lauracastro@gmail.com"/>
    <s v="REQ-1054"/>
    <x v="3"/>
    <s v="People"/>
    <s v="Rio de Janeiro"/>
    <s v="Híbrido"/>
    <x v="2"/>
    <x v="17"/>
    <s v="Thiago"/>
    <x v="4"/>
    <x v="6"/>
    <x v="3"/>
    <d v="2025-02-28T00:00:00"/>
    <d v="2025-03-03T00:00:00"/>
    <b v="1"/>
    <n v="9"/>
    <b v="0"/>
    <m/>
    <b v="0"/>
    <m/>
    <b v="0"/>
    <m/>
    <n v="62"/>
    <n v="62"/>
    <n v="52"/>
    <b v="0"/>
    <m/>
    <x v="0"/>
    <m/>
    <x v="1"/>
    <x v="0"/>
    <n v="3"/>
    <s v="Demonstrou interesse claro na oportunidade."/>
  </r>
  <r>
    <n v="167"/>
    <s v="Ana Moura"/>
    <s v="vianagabriela@aragao.br"/>
    <s v="REQ-1070"/>
    <x v="2"/>
    <s v="Data"/>
    <s v="São Paulo"/>
    <s v="Presencial"/>
    <x v="1"/>
    <x v="39"/>
    <s v="Bianca"/>
    <x v="2"/>
    <x v="6"/>
    <x v="2"/>
    <d v="2025-02-09T00:00:00"/>
    <d v="2025-02-13T00:00:00"/>
    <b v="0"/>
    <m/>
    <b v="0"/>
    <m/>
    <b v="0"/>
    <m/>
    <b v="0"/>
    <m/>
    <n v="48"/>
    <n v="63"/>
    <n v="51"/>
    <b v="0"/>
    <m/>
    <x v="0"/>
    <m/>
    <x v="2"/>
    <x v="1"/>
    <n v="4"/>
    <s v="Boa comunicação e resposta rápida."/>
  </r>
  <r>
    <n v="168"/>
    <s v="Maria Clara Ferreira"/>
    <s v="nicolasalmeida@yahoo.com.br"/>
    <s v="REQ-1059"/>
    <x v="2"/>
    <s v="Operations"/>
    <s v="Campinas"/>
    <s v="Remoto"/>
    <x v="2"/>
    <x v="42"/>
    <s v="Lorena"/>
    <x v="0"/>
    <x v="7"/>
    <x v="1"/>
    <d v="2025-03-03T00:00:00"/>
    <d v="2025-03-03T00:00:00"/>
    <b v="1"/>
    <n v="8"/>
    <b v="1"/>
    <d v="2025-03-11T00:00:00"/>
    <b v="1"/>
    <d v="2025-03-18T00:00:00"/>
    <b v="1"/>
    <d v="2025-03-20T00:00:00"/>
    <n v="77"/>
    <n v="66"/>
    <n v="74"/>
    <b v="0"/>
    <m/>
    <x v="0"/>
    <m/>
    <x v="0"/>
    <x v="0"/>
    <n v="17"/>
    <s v="Demonstrou interesse claro na oportunidade."/>
  </r>
  <r>
    <n v="169"/>
    <s v="Elisa Pinto"/>
    <s v="vicente69@moreira.org"/>
    <s v="REQ-1024"/>
    <x v="3"/>
    <s v="Data"/>
    <s v="Belo Horizonte"/>
    <s v="Híbrido"/>
    <x v="2"/>
    <x v="75"/>
    <s v="Bianca"/>
    <x v="5"/>
    <x v="4"/>
    <x v="2"/>
    <d v="2025-03-17T00:00:00"/>
    <d v="2025-03-20T00:00:00"/>
    <b v="1"/>
    <n v="7"/>
    <b v="1"/>
    <d v="2025-03-28T00:00:00"/>
    <b v="1"/>
    <d v="2025-04-11T00:00:00"/>
    <b v="0"/>
    <m/>
    <n v="52"/>
    <n v="68"/>
    <n v="48"/>
    <b v="0"/>
    <m/>
    <x v="0"/>
    <m/>
    <x v="3"/>
    <x v="0"/>
    <n v="25"/>
    <s v="Apresentou aderência forte ao contexto da vaga."/>
  </r>
  <r>
    <n v="170"/>
    <s v="Esther Costa"/>
    <s v="melorodrigo@santos.com"/>
    <s v="REQ-1017"/>
    <x v="2"/>
    <s v="Tech"/>
    <s v="São Paulo"/>
    <s v="Híbrido"/>
    <x v="1"/>
    <x v="85"/>
    <s v="Stella"/>
    <x v="4"/>
    <x v="0"/>
    <x v="3"/>
    <d v="2025-03-04T00:00:00"/>
    <d v="2025-03-04T00:00:00"/>
    <b v="0"/>
    <m/>
    <b v="0"/>
    <m/>
    <b v="0"/>
    <m/>
    <b v="0"/>
    <m/>
    <n v="54"/>
    <n v="68"/>
    <n v="71"/>
    <b v="0"/>
    <m/>
    <x v="0"/>
    <m/>
    <x v="2"/>
    <x v="1"/>
    <n v="0"/>
    <s v="Perfil técnico acima da média."/>
  </r>
  <r>
    <n v="171"/>
    <s v="Maria Eduarda Sales"/>
    <s v="sofiada-cruz@vieira.net"/>
    <s v="REQ-1080"/>
    <x v="1"/>
    <s v="Operations"/>
    <s v="Remote"/>
    <s v="Presencial"/>
    <x v="0"/>
    <x v="35"/>
    <s v="Stephany"/>
    <x v="2"/>
    <x v="0"/>
    <x v="2"/>
    <d v="2025-03-03T00:00:00"/>
    <d v="2025-03-10T00:00:00"/>
    <b v="1"/>
    <n v="11"/>
    <b v="1"/>
    <d v="2025-03-18T00:00:00"/>
    <b v="0"/>
    <m/>
    <b v="0"/>
    <m/>
    <n v="87"/>
    <n v="74"/>
    <n v="74"/>
    <b v="0"/>
    <m/>
    <x v="0"/>
    <m/>
    <x v="5"/>
    <x v="5"/>
    <n v="15"/>
    <s v="Pontos fortes em execução e autonomia."/>
  </r>
  <r>
    <n v="172"/>
    <s v="Cauê Costa"/>
    <s v="gabrielacunha@novaes.br"/>
    <s v="REQ-1019"/>
    <x v="0"/>
    <s v="Operations"/>
    <s v="São Paulo"/>
    <s v="Presencial"/>
    <x v="1"/>
    <x v="65"/>
    <s v="Luiza"/>
    <x v="4"/>
    <x v="2"/>
    <x v="0"/>
    <d v="2025-01-30T00:00:00"/>
    <d v="2025-01-30T00:00:00"/>
    <b v="1"/>
    <n v="8"/>
    <b v="1"/>
    <d v="2025-02-02T00:00:00"/>
    <b v="1"/>
    <d v="2025-02-15T00:00:00"/>
    <b v="1"/>
    <d v="2025-02-18T00:00:00"/>
    <n v="73"/>
    <n v="61"/>
    <n v="46"/>
    <b v="0"/>
    <m/>
    <x v="0"/>
    <m/>
    <x v="0"/>
    <x v="4"/>
    <n v="19"/>
    <s v="Apresentou aderência forte ao contexto da vaga."/>
  </r>
  <r>
    <n v="173"/>
    <s v="Vitor Gabriel Almeida"/>
    <s v="portopietra@gmail.com"/>
    <s v="REQ-1023"/>
    <x v="3"/>
    <s v="Tech"/>
    <s v="Rio de Janeiro"/>
    <s v="Remoto"/>
    <x v="3"/>
    <x v="31"/>
    <s v="Thiago"/>
    <x v="5"/>
    <x v="5"/>
    <x v="1"/>
    <d v="2025-05-11T00:00:00"/>
    <d v="2025-05-13T00:00:00"/>
    <b v="1"/>
    <n v="6"/>
    <b v="1"/>
    <d v="2025-05-22T00:00:00"/>
    <b v="1"/>
    <d v="2025-05-29T00:00:00"/>
    <b v="1"/>
    <d v="2025-06-08T00:00:00"/>
    <n v="58"/>
    <n v="88"/>
    <n v="73"/>
    <b v="0"/>
    <m/>
    <x v="0"/>
    <m/>
    <x v="0"/>
    <x v="3"/>
    <n v="28"/>
    <s v="Baixa responsividade nas etapas iniciais."/>
  </r>
  <r>
    <n v="174"/>
    <s v="João Lucas Pinto"/>
    <s v="aaraujo@fernandes.br"/>
    <s v="REQ-1077"/>
    <x v="3"/>
    <s v="Data"/>
    <s v="Campinas"/>
    <s v="Remoto"/>
    <x v="0"/>
    <x v="5"/>
    <s v="Bárbara"/>
    <x v="2"/>
    <x v="3"/>
    <x v="1"/>
    <d v="2025-01-20T00:00:00"/>
    <d v="2025-01-20T00:00:00"/>
    <b v="0"/>
    <m/>
    <b v="0"/>
    <m/>
    <b v="0"/>
    <m/>
    <b v="0"/>
    <m/>
    <n v="80"/>
    <n v="78"/>
    <n v="85"/>
    <b v="0"/>
    <m/>
    <x v="0"/>
    <m/>
    <x v="2"/>
    <x v="1"/>
    <n v="0"/>
    <s v="Perfil técnico acima da média."/>
  </r>
  <r>
    <n v="175"/>
    <s v="Lara Peixoto"/>
    <s v="slima@pereira.org"/>
    <s v="REQ-1028"/>
    <x v="3"/>
    <s v="Data"/>
    <s v="Belo Horizonte"/>
    <s v="Presencial"/>
    <x v="2"/>
    <x v="86"/>
    <s v="Isabel"/>
    <x v="2"/>
    <x v="4"/>
    <x v="2"/>
    <d v="2025-05-20T00:00:00"/>
    <d v="2025-05-26T00:00:00"/>
    <b v="1"/>
    <n v="5"/>
    <b v="1"/>
    <d v="2025-06-04T00:00:00"/>
    <b v="0"/>
    <m/>
    <b v="0"/>
    <m/>
    <n v="54"/>
    <n v="79"/>
    <n v="63"/>
    <b v="0"/>
    <m/>
    <x v="0"/>
    <m/>
    <x v="5"/>
    <x v="8"/>
    <n v="15"/>
    <s v="Experiência sólida, mas expectativa salarial alta."/>
  </r>
  <r>
    <n v="176"/>
    <s v="Alexia Rodrigues"/>
    <s v="ramosevelyn@yahoo.com.br"/>
    <s v="REQ-1064"/>
    <x v="3"/>
    <s v="Tech"/>
    <s v="São Paulo"/>
    <s v="Remoto"/>
    <x v="1"/>
    <x v="87"/>
    <s v="João Miguel"/>
    <x v="5"/>
    <x v="3"/>
    <x v="2"/>
    <d v="2025-01-17T00:00:00"/>
    <d v="2025-01-19T00:00:00"/>
    <b v="1"/>
    <n v="6"/>
    <b v="0"/>
    <m/>
    <b v="0"/>
    <m/>
    <b v="0"/>
    <m/>
    <n v="81"/>
    <n v="67"/>
    <n v="74"/>
    <b v="0"/>
    <m/>
    <x v="0"/>
    <m/>
    <x v="1"/>
    <x v="6"/>
    <n v="2"/>
    <s v="Pediu prazo adicional para retorno."/>
  </r>
  <r>
    <n v="177"/>
    <s v="Miguel Costela"/>
    <s v="luiz-otavio17@lopes.com"/>
    <s v="REQ-1066"/>
    <x v="2"/>
    <s v="Data"/>
    <s v="Rio de Janeiro"/>
    <s v="Remoto"/>
    <x v="1"/>
    <x v="76"/>
    <s v="Matheus"/>
    <x v="0"/>
    <x v="7"/>
    <x v="2"/>
    <d v="2025-03-01T00:00:00"/>
    <d v="2025-03-04T00:00:00"/>
    <b v="1"/>
    <n v="9"/>
    <b v="0"/>
    <m/>
    <b v="0"/>
    <m/>
    <b v="0"/>
    <m/>
    <n v="73"/>
    <n v="83"/>
    <n v="85"/>
    <b v="0"/>
    <m/>
    <x v="0"/>
    <m/>
    <x v="1"/>
    <x v="0"/>
    <n v="3"/>
    <s v="Pediu prazo adicional para retorno."/>
  </r>
  <r>
    <n v="178"/>
    <s v="Isis da Conceição"/>
    <s v="rezendedaniela@hotmail.com"/>
    <s v="REQ-1035"/>
    <x v="3"/>
    <s v="People"/>
    <s v="Remote"/>
    <s v="Presencial"/>
    <x v="1"/>
    <x v="80"/>
    <s v="Renan"/>
    <x v="2"/>
    <x v="7"/>
    <x v="0"/>
    <d v="2025-02-08T00:00:00"/>
    <d v="2025-02-13T00:00:00"/>
    <b v="1"/>
    <n v="10"/>
    <b v="1"/>
    <d v="2025-02-20T00:00:00"/>
    <b v="1"/>
    <d v="2025-02-22T00:00:00"/>
    <b v="1"/>
    <d v="2025-02-24T00:00:00"/>
    <n v="62"/>
    <n v="86"/>
    <n v="67"/>
    <b v="0"/>
    <m/>
    <x v="0"/>
    <m/>
    <x v="0"/>
    <x v="8"/>
    <n v="16"/>
    <s v="Feedback positivo do gestor."/>
  </r>
  <r>
    <n v="179"/>
    <s v="Ana Sophia Moraes"/>
    <s v="brocha@hotmail.com"/>
    <s v="REQ-1085"/>
    <x v="0"/>
    <s v="Operations"/>
    <s v="Curitiba"/>
    <s v="Remoto"/>
    <x v="0"/>
    <x v="11"/>
    <s v="Vitor Hugo"/>
    <x v="5"/>
    <x v="1"/>
    <x v="2"/>
    <d v="2025-05-22T00:00:00"/>
    <d v="2025-05-23T00:00:00"/>
    <b v="0"/>
    <m/>
    <b v="0"/>
    <m/>
    <b v="0"/>
    <m/>
    <b v="0"/>
    <m/>
    <n v="72"/>
    <n v="85"/>
    <n v="81"/>
    <b v="0"/>
    <m/>
    <x v="0"/>
    <m/>
    <x v="2"/>
    <x v="1"/>
    <n v="1"/>
    <s v="Baixa responsividade nas etapas iniciais."/>
  </r>
  <r>
    <n v="180"/>
    <s v="Esther Ferreira"/>
    <s v="luiz-otavioferreira@uol.com.br"/>
    <s v="REQ-1092"/>
    <x v="1"/>
    <s v="Tech"/>
    <s v="Belo Horizonte"/>
    <s v="Presencial"/>
    <x v="1"/>
    <x v="57"/>
    <s v="Alice"/>
    <x v="0"/>
    <x v="1"/>
    <x v="1"/>
    <d v="2025-01-08T00:00:00"/>
    <d v="2025-01-09T00:00:00"/>
    <b v="0"/>
    <m/>
    <b v="0"/>
    <m/>
    <b v="0"/>
    <m/>
    <b v="0"/>
    <m/>
    <n v="72"/>
    <n v="81"/>
    <n v="80"/>
    <b v="0"/>
    <m/>
    <x v="0"/>
    <m/>
    <x v="2"/>
    <x v="1"/>
    <n v="1"/>
    <s v="Feedback positivo do gestor."/>
  </r>
  <r>
    <n v="181"/>
    <s v="Clara Barbosa"/>
    <s v="aferreira@bol.com.br"/>
    <s v="REQ-1076"/>
    <x v="2"/>
    <s v="Data"/>
    <s v="Belo Horizonte"/>
    <s v="Presencial"/>
    <x v="1"/>
    <x v="88"/>
    <s v="Ana Julia"/>
    <x v="1"/>
    <x v="6"/>
    <x v="1"/>
    <d v="2025-05-08T00:00:00"/>
    <d v="2025-05-15T00:00:00"/>
    <b v="1"/>
    <n v="2"/>
    <b v="1"/>
    <d v="2025-05-20T00:00:00"/>
    <b v="0"/>
    <m/>
    <b v="0"/>
    <m/>
    <n v="83"/>
    <n v="73"/>
    <n v="66"/>
    <b v="0"/>
    <m/>
    <x v="0"/>
    <m/>
    <x v="5"/>
    <x v="0"/>
    <n v="12"/>
    <s v="Experiência sólida, mas expectativa salarial alta."/>
  </r>
  <r>
    <n v="182"/>
    <s v="Cauê Jesus"/>
    <s v="guilhermenascimento@bol.com.br"/>
    <s v="REQ-1053"/>
    <x v="3"/>
    <s v="Tech"/>
    <s v="Remote"/>
    <s v="Híbrido"/>
    <x v="1"/>
    <x v="46"/>
    <s v="Ana"/>
    <x v="0"/>
    <x v="3"/>
    <x v="0"/>
    <d v="2025-03-15T00:00:00"/>
    <d v="2025-03-20T00:00:00"/>
    <b v="1"/>
    <n v="9"/>
    <b v="1"/>
    <d v="2025-03-23T00:00:00"/>
    <b v="1"/>
    <d v="2025-04-03T00:00:00"/>
    <b v="0"/>
    <m/>
    <n v="91"/>
    <n v="83"/>
    <n v="82"/>
    <b v="0"/>
    <m/>
    <x v="0"/>
    <m/>
    <x v="3"/>
    <x v="9"/>
    <n v="19"/>
    <s v="Pediu prazo adicional para retorno."/>
  </r>
  <r>
    <n v="183"/>
    <s v="Matheus Pereira"/>
    <s v="da-matabenjamin@uol.com.br"/>
    <s v="REQ-1060"/>
    <x v="3"/>
    <s v="People"/>
    <s v="Remote"/>
    <s v="Remoto"/>
    <x v="1"/>
    <x v="1"/>
    <s v="Yasmin"/>
    <x v="3"/>
    <x v="4"/>
    <x v="0"/>
    <d v="2025-03-25T00:00:00"/>
    <d v="2025-03-25T00:00:00"/>
    <b v="1"/>
    <n v="10"/>
    <b v="1"/>
    <d v="2025-04-03T00:00:00"/>
    <b v="1"/>
    <d v="2025-04-09T00:00:00"/>
    <b v="1"/>
    <d v="2025-04-15T00:00:00"/>
    <n v="73"/>
    <n v="60"/>
    <n v="59"/>
    <b v="0"/>
    <m/>
    <x v="0"/>
    <m/>
    <x v="0"/>
    <x v="0"/>
    <n v="21"/>
    <s v="Apresentou aderência forte ao contexto da vaga."/>
  </r>
  <r>
    <n v="184"/>
    <s v="Emanuel Nunes"/>
    <s v="pintoandre@fogaca.com"/>
    <s v="REQ-1016"/>
    <x v="2"/>
    <s v="Data"/>
    <s v="Rio de Janeiro"/>
    <s v="Híbrido"/>
    <x v="0"/>
    <x v="89"/>
    <s v="Amanda"/>
    <x v="2"/>
    <x v="4"/>
    <x v="2"/>
    <d v="2025-05-07T00:00:00"/>
    <d v="2025-05-07T00:00:00"/>
    <b v="1"/>
    <n v="5"/>
    <b v="0"/>
    <m/>
    <b v="0"/>
    <m/>
    <b v="0"/>
    <m/>
    <n v="84"/>
    <n v="78"/>
    <n v="80"/>
    <b v="0"/>
    <m/>
    <x v="0"/>
    <m/>
    <x v="1"/>
    <x v="0"/>
    <n v="0"/>
    <s v="Pontos fortes em execução e autonomia."/>
  </r>
  <r>
    <n v="185"/>
    <s v="Marcelo Cardoso"/>
    <s v="da-luzmaria@araujo.com"/>
    <s v="REQ-1005"/>
    <x v="1"/>
    <s v="Tech"/>
    <s v="Remote"/>
    <s v="Presencial"/>
    <x v="0"/>
    <x v="18"/>
    <s v="João Pedro"/>
    <x v="0"/>
    <x v="0"/>
    <x v="1"/>
    <d v="2025-05-15T00:00:00"/>
    <d v="2025-05-15T00:00:00"/>
    <b v="0"/>
    <m/>
    <b v="0"/>
    <m/>
    <b v="0"/>
    <m/>
    <b v="0"/>
    <m/>
    <n v="77"/>
    <n v="79"/>
    <n v="84"/>
    <b v="0"/>
    <m/>
    <x v="0"/>
    <m/>
    <x v="2"/>
    <x v="1"/>
    <n v="0"/>
    <s v="Bom potencial de evolução."/>
  </r>
  <r>
    <n v="186"/>
    <s v="Felipe da Cunha"/>
    <s v="barbarafarias@gmail.com"/>
    <s v="REQ-1036"/>
    <x v="3"/>
    <s v="Data"/>
    <s v="Curitiba"/>
    <s v="Presencial"/>
    <x v="0"/>
    <x v="21"/>
    <s v="Bruna"/>
    <x v="5"/>
    <x v="6"/>
    <x v="2"/>
    <d v="2025-01-01T00:00:00"/>
    <d v="2025-01-01T00:00:00"/>
    <b v="1"/>
    <n v="2"/>
    <b v="0"/>
    <m/>
    <b v="0"/>
    <m/>
    <b v="0"/>
    <m/>
    <n v="71"/>
    <n v="80"/>
    <n v="71"/>
    <b v="0"/>
    <m/>
    <x v="0"/>
    <m/>
    <x v="1"/>
    <x v="0"/>
    <n v="0"/>
    <s v="Bom potencial de evolução."/>
  </r>
  <r>
    <n v="187"/>
    <s v="Dr. Vitor Gabriel Moura"/>
    <s v="brendacarvalho@uol.com.br"/>
    <s v="REQ-1013"/>
    <x v="2"/>
    <s v="Operations"/>
    <s v="Curitiba"/>
    <s v="Remoto"/>
    <x v="2"/>
    <x v="75"/>
    <s v="Daniela"/>
    <x v="3"/>
    <x v="3"/>
    <x v="0"/>
    <d v="2025-04-28T00:00:00"/>
    <d v="2025-05-01T00:00:00"/>
    <b v="0"/>
    <m/>
    <b v="0"/>
    <m/>
    <b v="0"/>
    <m/>
    <b v="0"/>
    <m/>
    <n v="66"/>
    <n v="80"/>
    <n v="76"/>
    <b v="0"/>
    <m/>
    <x v="0"/>
    <m/>
    <x v="2"/>
    <x v="1"/>
    <n v="3"/>
    <s v="Apresentou aderência forte ao contexto da vaga."/>
  </r>
  <r>
    <n v="188"/>
    <s v="Fernanda Sales"/>
    <s v="correiaesther@yahoo.com.br"/>
    <s v="REQ-1034"/>
    <x v="0"/>
    <s v="People"/>
    <s v="Campinas"/>
    <s v="Presencial"/>
    <x v="2"/>
    <x v="75"/>
    <s v="Luna"/>
    <x v="5"/>
    <x v="4"/>
    <x v="0"/>
    <d v="2025-05-01T00:00:00"/>
    <d v="2025-05-01T00:00:00"/>
    <b v="1"/>
    <n v="12"/>
    <b v="1"/>
    <d v="2025-05-06T00:00:00"/>
    <b v="1"/>
    <d v="2025-05-11T00:00:00"/>
    <b v="1"/>
    <d v="2025-05-21T00:00:00"/>
    <n v="69"/>
    <n v="73"/>
    <n v="75"/>
    <b v="0"/>
    <m/>
    <x v="0"/>
    <m/>
    <x v="0"/>
    <x v="0"/>
    <n v="20"/>
    <s v="Apresentou aderência forte ao contexto da vaga."/>
  </r>
  <r>
    <n v="189"/>
    <s v="Julia Moraes"/>
    <s v="bernardo65@yahoo.com.br"/>
    <s v="REQ-1069"/>
    <x v="2"/>
    <s v="Data"/>
    <s v="Curitiba"/>
    <s v="Híbrido"/>
    <x v="1"/>
    <x v="59"/>
    <s v="Laura"/>
    <x v="0"/>
    <x v="7"/>
    <x v="3"/>
    <d v="2025-01-30T00:00:00"/>
    <d v="2025-02-01T00:00:00"/>
    <b v="1"/>
    <n v="6"/>
    <b v="1"/>
    <d v="2025-02-02T00:00:00"/>
    <b v="1"/>
    <d v="2025-02-16T00:00:00"/>
    <b v="1"/>
    <d v="2025-02-26T00:00:00"/>
    <n v="76"/>
    <n v="80"/>
    <n v="90"/>
    <b v="1"/>
    <d v="2025-03-03T00:00:00"/>
    <x v="1"/>
    <d v="2025-03-05T00:00:00"/>
    <x v="4"/>
    <x v="0"/>
    <n v="34"/>
    <s v="Perfil técnico acima da média."/>
  </r>
  <r>
    <n v="190"/>
    <s v="Luiza Pinto"/>
    <s v="rodrigomoreira@da.com"/>
    <s v="REQ-1057"/>
    <x v="0"/>
    <s v="Data"/>
    <s v="Campinas"/>
    <s v="Presencial"/>
    <x v="0"/>
    <x v="90"/>
    <s v="Nina"/>
    <x v="1"/>
    <x v="1"/>
    <x v="0"/>
    <d v="2025-02-11T00:00:00"/>
    <d v="2025-02-17T00:00:00"/>
    <b v="1"/>
    <n v="3"/>
    <b v="1"/>
    <d v="2025-02-26T00:00:00"/>
    <b v="1"/>
    <d v="2025-03-06T00:00:00"/>
    <b v="0"/>
    <m/>
    <n v="45"/>
    <n v="89"/>
    <n v="86"/>
    <b v="0"/>
    <m/>
    <x v="0"/>
    <m/>
    <x v="3"/>
    <x v="3"/>
    <n v="23"/>
    <s v="Feedback positivo do gestor."/>
  </r>
  <r>
    <n v="191"/>
    <s v="Emanuella Pinto"/>
    <s v="maria-juliacampos@da.br"/>
    <s v="REQ-1041"/>
    <x v="3"/>
    <s v="Tech"/>
    <s v="Campinas"/>
    <s v="Híbrido"/>
    <x v="3"/>
    <x v="91"/>
    <s v="Natália"/>
    <x v="4"/>
    <x v="3"/>
    <x v="3"/>
    <d v="2025-05-13T00:00:00"/>
    <d v="2025-05-18T00:00:00"/>
    <b v="1"/>
    <n v="3"/>
    <b v="1"/>
    <d v="2025-05-20T00:00:00"/>
    <b v="1"/>
    <d v="2025-05-25T00:00:00"/>
    <b v="0"/>
    <m/>
    <n v="84"/>
    <n v="90"/>
    <n v="80"/>
    <b v="0"/>
    <m/>
    <x v="0"/>
    <m/>
    <x v="3"/>
    <x v="7"/>
    <n v="12"/>
    <s v="Perfil técnico acima da média."/>
  </r>
  <r>
    <n v="192"/>
    <s v="Dr. Gustavo Henrique Silveira"/>
    <s v="silveiraaugusto@carvalho.com"/>
    <s v="REQ-1060"/>
    <x v="0"/>
    <s v="People"/>
    <s v="Campinas"/>
    <s v="Remoto"/>
    <x v="3"/>
    <x v="82"/>
    <s v="Luiza"/>
    <x v="0"/>
    <x v="2"/>
    <x v="0"/>
    <d v="2025-04-19T00:00:00"/>
    <d v="2025-04-23T00:00:00"/>
    <b v="1"/>
    <n v="11"/>
    <b v="1"/>
    <d v="2025-04-30T00:00:00"/>
    <b v="1"/>
    <d v="2025-05-06T00:00:00"/>
    <b v="1"/>
    <d v="2025-05-15T00:00:00"/>
    <n v="72"/>
    <n v="86"/>
    <n v="81"/>
    <b v="1"/>
    <d v="2025-05-20T00:00:00"/>
    <x v="1"/>
    <d v="2025-06-01T00:00:00"/>
    <x v="4"/>
    <x v="0"/>
    <n v="43"/>
    <s v="Boa comunicação e resposta rápida."/>
  </r>
  <r>
    <n v="193"/>
    <s v="Bruna Correia"/>
    <s v="melissa46@silva.net"/>
    <s v="REQ-1048"/>
    <x v="1"/>
    <s v="Tech"/>
    <s v="Campinas"/>
    <s v="Presencial"/>
    <x v="1"/>
    <x v="8"/>
    <s v="Brenda"/>
    <x v="0"/>
    <x v="5"/>
    <x v="0"/>
    <d v="2025-05-02T00:00:00"/>
    <d v="2025-05-06T00:00:00"/>
    <b v="0"/>
    <m/>
    <b v="0"/>
    <m/>
    <b v="0"/>
    <m/>
    <b v="0"/>
    <m/>
    <n v="72"/>
    <n v="61"/>
    <n v="82"/>
    <b v="0"/>
    <m/>
    <x v="0"/>
    <m/>
    <x v="2"/>
    <x v="1"/>
    <n v="4"/>
    <s v="Experiência sólida, mas expectativa salarial alta."/>
  </r>
  <r>
    <n v="194"/>
    <s v="Lorenzo Silveira"/>
    <s v="novaeskamilly@araujo.br"/>
    <s v="REQ-1036"/>
    <x v="1"/>
    <s v="Operations"/>
    <s v="Belo Horizonte"/>
    <s v="Presencial"/>
    <x v="2"/>
    <x v="84"/>
    <s v="Davi Lucas"/>
    <x v="3"/>
    <x v="1"/>
    <x v="0"/>
    <d v="2025-03-10T00:00:00"/>
    <d v="2025-03-13T00:00:00"/>
    <b v="1"/>
    <n v="6"/>
    <b v="1"/>
    <d v="2025-03-19T00:00:00"/>
    <b v="1"/>
    <d v="2025-03-27T00:00:00"/>
    <b v="1"/>
    <d v="2025-04-01T00:00:00"/>
    <n v="53"/>
    <n v="74"/>
    <n v="57"/>
    <b v="0"/>
    <m/>
    <x v="0"/>
    <m/>
    <x v="0"/>
    <x v="0"/>
    <n v="22"/>
    <s v="Demonstrou interesse claro na oportunidade."/>
  </r>
  <r>
    <n v="195"/>
    <s v="Gabriel Moreira"/>
    <s v="alexiavieira@moreira.br"/>
    <s v="REQ-1082"/>
    <x v="2"/>
    <s v="People"/>
    <s v="Rio de Janeiro"/>
    <s v="Híbrido"/>
    <x v="2"/>
    <x v="92"/>
    <s v="João Lucas"/>
    <x v="2"/>
    <x v="6"/>
    <x v="3"/>
    <d v="2025-03-03T00:00:00"/>
    <d v="2025-03-08T00:00:00"/>
    <b v="0"/>
    <m/>
    <b v="0"/>
    <m/>
    <b v="0"/>
    <m/>
    <b v="0"/>
    <m/>
    <n v="65"/>
    <n v="69"/>
    <n v="64"/>
    <b v="0"/>
    <m/>
    <x v="0"/>
    <m/>
    <x v="2"/>
    <x v="1"/>
    <n v="5"/>
    <s v="Perfil técnico acima da média."/>
  </r>
  <r>
    <n v="196"/>
    <s v="Catarina Novaes"/>
    <s v="nogueiralaura@carvalho.net"/>
    <s v="REQ-1065"/>
    <x v="2"/>
    <s v="Data"/>
    <s v="São Paulo"/>
    <s v="Remoto"/>
    <x v="1"/>
    <x v="56"/>
    <s v="Gustavo Henrique"/>
    <x v="5"/>
    <x v="3"/>
    <x v="1"/>
    <d v="2025-02-06T00:00:00"/>
    <d v="2025-02-08T00:00:00"/>
    <b v="1"/>
    <n v="2"/>
    <b v="1"/>
    <d v="2025-02-17T00:00:00"/>
    <b v="1"/>
    <d v="2025-02-21T00:00:00"/>
    <b v="1"/>
    <d v="2025-02-27T00:00:00"/>
    <n v="67"/>
    <n v="79"/>
    <n v="74"/>
    <b v="0"/>
    <m/>
    <x v="0"/>
    <m/>
    <x v="0"/>
    <x v="0"/>
    <n v="21"/>
    <s v="Feedback positivo do gestor."/>
  </r>
  <r>
    <n v="197"/>
    <s v="Alexandre Farias"/>
    <s v="diasana-clara@correia.net"/>
    <s v="REQ-1013"/>
    <x v="3"/>
    <s v="People"/>
    <s v="São Paulo"/>
    <s v="Presencial"/>
    <x v="0"/>
    <x v="54"/>
    <s v="Caroline"/>
    <x v="5"/>
    <x v="0"/>
    <x v="0"/>
    <d v="2025-05-10T00:00:00"/>
    <d v="2025-05-15T00:00:00"/>
    <b v="0"/>
    <m/>
    <b v="0"/>
    <m/>
    <b v="0"/>
    <m/>
    <b v="0"/>
    <m/>
    <n v="81"/>
    <n v="95"/>
    <n v="100"/>
    <b v="0"/>
    <m/>
    <x v="0"/>
    <m/>
    <x v="2"/>
    <x v="1"/>
    <n v="5"/>
    <s v="Perfil técnico acima da média."/>
  </r>
  <r>
    <n v="198"/>
    <s v="Otávio Jesus"/>
    <s v="samuelbarros@hotmail.com"/>
    <s v="REQ-1030"/>
    <x v="3"/>
    <s v="Data"/>
    <s v="São Paulo"/>
    <s v="Remoto"/>
    <x v="0"/>
    <x v="64"/>
    <s v="Nina"/>
    <x v="1"/>
    <x v="7"/>
    <x v="3"/>
    <d v="2025-04-20T00:00:00"/>
    <d v="2025-04-24T00:00:00"/>
    <b v="1"/>
    <n v="8"/>
    <b v="1"/>
    <d v="2025-05-01T00:00:00"/>
    <b v="1"/>
    <d v="2025-05-07T00:00:00"/>
    <b v="1"/>
    <d v="2025-05-16T00:00:00"/>
    <n v="78"/>
    <n v="62"/>
    <n v="66"/>
    <b v="0"/>
    <m/>
    <x v="0"/>
    <m/>
    <x v="0"/>
    <x v="1"/>
    <n v="26"/>
    <s v="Demonstrou interesse claro na oportunidade."/>
  </r>
  <r>
    <n v="199"/>
    <s v="Davi Nunes"/>
    <s v="camila75@gmail.com"/>
    <s v="REQ-1051"/>
    <x v="1"/>
    <s v="People"/>
    <s v="Campinas"/>
    <s v="Híbrido"/>
    <x v="2"/>
    <x v="15"/>
    <s v="Benício"/>
    <x v="0"/>
    <x v="4"/>
    <x v="0"/>
    <d v="2025-01-28T00:00:00"/>
    <d v="2025-02-02T00:00:00"/>
    <b v="1"/>
    <n v="9"/>
    <b v="0"/>
    <m/>
    <b v="0"/>
    <m/>
    <b v="0"/>
    <m/>
    <n v="54"/>
    <n v="80"/>
    <n v="65"/>
    <b v="0"/>
    <m/>
    <x v="0"/>
    <m/>
    <x v="1"/>
    <x v="5"/>
    <n v="5"/>
    <s v="Experiência sólida, mas expectativa salarial alta."/>
  </r>
  <r>
    <n v="200"/>
    <s v="Mariane Nascimento"/>
    <s v="araujolaura@hotmail.com"/>
    <s v="REQ-1035"/>
    <x v="0"/>
    <s v="Data"/>
    <s v="Campinas"/>
    <s v="Híbrido"/>
    <x v="2"/>
    <x v="2"/>
    <s v="Natália"/>
    <x v="3"/>
    <x v="6"/>
    <x v="1"/>
    <d v="2025-01-15T00:00:00"/>
    <d v="2025-01-21T00:00:00"/>
    <b v="1"/>
    <n v="8"/>
    <b v="1"/>
    <d v="2025-01-22T00:00:00"/>
    <b v="0"/>
    <m/>
    <b v="0"/>
    <m/>
    <n v="72"/>
    <n v="75"/>
    <n v="71"/>
    <b v="0"/>
    <m/>
    <x v="0"/>
    <m/>
    <x v="5"/>
    <x v="9"/>
    <n v="7"/>
    <s v="Pediu prazo adicional para retorno."/>
  </r>
  <r>
    <n v="201"/>
    <s v="Arthur Ribeiro"/>
    <s v="camila94@lima.org"/>
    <s v="REQ-1057"/>
    <x v="1"/>
    <s v="People"/>
    <s v="Belo Horizonte"/>
    <s v="Remoto"/>
    <x v="2"/>
    <x v="93"/>
    <s v="Gabriel"/>
    <x v="3"/>
    <x v="0"/>
    <x v="3"/>
    <d v="2025-01-21T00:00:00"/>
    <d v="2025-01-23T00:00:00"/>
    <b v="0"/>
    <m/>
    <b v="0"/>
    <m/>
    <b v="0"/>
    <m/>
    <b v="0"/>
    <m/>
    <n v="58"/>
    <n v="57"/>
    <n v="52"/>
    <b v="0"/>
    <m/>
    <x v="0"/>
    <m/>
    <x v="2"/>
    <x v="1"/>
    <n v="2"/>
    <s v="Pediu prazo adicional para retorno."/>
  </r>
  <r>
    <n v="202"/>
    <s v="Thomas Correia"/>
    <s v="ana-beatriz14@ig.com.br"/>
    <s v="REQ-1056"/>
    <x v="0"/>
    <s v="Operations"/>
    <s v="Remote"/>
    <s v="Híbrido"/>
    <x v="0"/>
    <x v="69"/>
    <s v="Gabriel"/>
    <x v="3"/>
    <x v="5"/>
    <x v="1"/>
    <d v="2025-01-27T00:00:00"/>
    <d v="2025-01-27T00:00:00"/>
    <b v="1"/>
    <n v="0"/>
    <b v="0"/>
    <m/>
    <b v="0"/>
    <m/>
    <b v="0"/>
    <m/>
    <n v="79"/>
    <n v="61"/>
    <n v="61"/>
    <b v="0"/>
    <m/>
    <x v="0"/>
    <m/>
    <x v="1"/>
    <x v="0"/>
    <n v="0"/>
    <s v="Bom potencial de evolução."/>
  </r>
  <r>
    <n v="203"/>
    <s v="Letícia da Costa"/>
    <s v="souzapedro@ig.com.br"/>
    <s v="REQ-1087"/>
    <x v="0"/>
    <s v="Operations"/>
    <s v="São Paulo"/>
    <s v="Remoto"/>
    <x v="0"/>
    <x v="40"/>
    <s v="Ana Sophia"/>
    <x v="2"/>
    <x v="2"/>
    <x v="1"/>
    <d v="2025-01-06T00:00:00"/>
    <d v="2025-01-09T00:00:00"/>
    <b v="0"/>
    <m/>
    <b v="0"/>
    <m/>
    <b v="0"/>
    <m/>
    <b v="0"/>
    <m/>
    <n v="92"/>
    <n v="85"/>
    <n v="77"/>
    <b v="0"/>
    <m/>
    <x v="0"/>
    <m/>
    <x v="2"/>
    <x v="1"/>
    <n v="3"/>
    <s v="Bom potencial de evolução."/>
  </r>
  <r>
    <n v="204"/>
    <s v="André da Costa"/>
    <s v="ucaldeira@gmail.com"/>
    <s v="REQ-1075"/>
    <x v="0"/>
    <s v="Tech"/>
    <s v="Campinas"/>
    <s v="Presencial"/>
    <x v="1"/>
    <x v="49"/>
    <s v="Enzo Gabriel"/>
    <x v="3"/>
    <x v="3"/>
    <x v="3"/>
    <d v="2025-03-08T00:00:00"/>
    <d v="2025-03-10T00:00:00"/>
    <b v="0"/>
    <m/>
    <b v="0"/>
    <m/>
    <b v="0"/>
    <m/>
    <b v="0"/>
    <m/>
    <n v="91"/>
    <n v="83"/>
    <n v="91"/>
    <b v="0"/>
    <m/>
    <x v="0"/>
    <m/>
    <x v="2"/>
    <x v="1"/>
    <n v="2"/>
    <s v="Experiência sólida, mas expectativa salarial alta."/>
  </r>
  <r>
    <n v="205"/>
    <s v="Marina Ramos"/>
    <s v="pietra38@pires.org"/>
    <s v="REQ-1042"/>
    <x v="0"/>
    <s v="People"/>
    <s v="Rio de Janeiro"/>
    <s v="Híbrido"/>
    <x v="1"/>
    <x v="70"/>
    <s v="Letícia"/>
    <x v="4"/>
    <x v="6"/>
    <x v="2"/>
    <d v="2025-05-12T00:00:00"/>
    <d v="2025-05-13T00:00:00"/>
    <b v="1"/>
    <n v="1"/>
    <b v="1"/>
    <d v="2025-05-16T00:00:00"/>
    <b v="1"/>
    <d v="2025-05-19T00:00:00"/>
    <b v="1"/>
    <d v="2025-05-29T00:00:00"/>
    <n v="54"/>
    <n v="59"/>
    <n v="59"/>
    <b v="0"/>
    <m/>
    <x v="0"/>
    <m/>
    <x v="0"/>
    <x v="0"/>
    <n v="17"/>
    <s v="Demonstrou interesse claro na oportunidade."/>
  </r>
  <r>
    <n v="206"/>
    <s v="Ana Sophia da Luz"/>
    <s v="da-luzsarah@ig.com.br"/>
    <s v="REQ-1071"/>
    <x v="3"/>
    <s v="Operations"/>
    <s v="Campinas"/>
    <s v="Remoto"/>
    <x v="0"/>
    <x v="43"/>
    <s v="Marcela"/>
    <x v="4"/>
    <x v="2"/>
    <x v="3"/>
    <d v="2025-01-24T00:00:00"/>
    <d v="2025-01-24T00:00:00"/>
    <b v="1"/>
    <n v="8"/>
    <b v="1"/>
    <d v="2025-01-25T00:00:00"/>
    <b v="1"/>
    <d v="2025-02-02T00:00:00"/>
    <b v="1"/>
    <d v="2025-02-06T00:00:00"/>
    <n v="99"/>
    <n v="83"/>
    <n v="80"/>
    <b v="1"/>
    <d v="2025-02-07T00:00:00"/>
    <x v="1"/>
    <d v="2025-02-13T00:00:00"/>
    <x v="4"/>
    <x v="0"/>
    <n v="20"/>
    <s v="Experiência sólida, mas expectativa salarial alta."/>
  </r>
  <r>
    <n v="207"/>
    <s v="Milena da Luz"/>
    <s v="alvesrodrigo@moreira.br"/>
    <s v="REQ-1035"/>
    <x v="3"/>
    <s v="Operations"/>
    <s v="Curitiba"/>
    <s v="Remoto"/>
    <x v="1"/>
    <x v="14"/>
    <s v="Kamilly"/>
    <x v="4"/>
    <x v="0"/>
    <x v="3"/>
    <d v="2025-01-13T00:00:00"/>
    <d v="2025-01-13T00:00:00"/>
    <b v="1"/>
    <n v="6"/>
    <b v="1"/>
    <d v="2025-01-16T00:00:00"/>
    <b v="1"/>
    <d v="2025-01-18T00:00:00"/>
    <b v="1"/>
    <d v="2025-01-19T00:00:00"/>
    <n v="67"/>
    <n v="75"/>
    <n v="64"/>
    <b v="0"/>
    <m/>
    <x v="0"/>
    <m/>
    <x v="0"/>
    <x v="2"/>
    <n v="6"/>
    <s v="Pediu prazo adicional para retorno."/>
  </r>
  <r>
    <n v="208"/>
    <s v="Dra. Eduarda Duarte"/>
    <s v="freitasana@da.br"/>
    <s v="REQ-1040"/>
    <x v="1"/>
    <s v="Data"/>
    <s v="Curitiba"/>
    <s v="Híbrido"/>
    <x v="2"/>
    <x v="92"/>
    <s v="Luana"/>
    <x v="3"/>
    <x v="0"/>
    <x v="0"/>
    <d v="2025-01-23T00:00:00"/>
    <d v="2025-02-04T00:00:00"/>
    <b v="1"/>
    <n v="5"/>
    <b v="1"/>
    <d v="2025-02-06T00:00:00"/>
    <b v="1"/>
    <d v="2025-02-13T00:00:00"/>
    <b v="1"/>
    <d v="2025-02-15T00:00:00"/>
    <n v="70"/>
    <n v="79"/>
    <n v="71"/>
    <b v="0"/>
    <m/>
    <x v="0"/>
    <m/>
    <x v="0"/>
    <x v="8"/>
    <n v="23"/>
    <s v="Pediu prazo adicional para retorno."/>
  </r>
  <r>
    <n v="209"/>
    <s v="Dra. Stella Caldeira"/>
    <s v="jrezende@uol.com.br"/>
    <s v="REQ-1026"/>
    <x v="3"/>
    <s v="Tech"/>
    <s v="Rio de Janeiro"/>
    <s v="Presencial"/>
    <x v="2"/>
    <x v="1"/>
    <s v="Raul"/>
    <x v="5"/>
    <x v="6"/>
    <x v="2"/>
    <d v="2025-05-12T00:00:00"/>
    <d v="2025-05-12T00:00:00"/>
    <b v="1"/>
    <n v="3"/>
    <b v="1"/>
    <d v="2025-05-18T00:00:00"/>
    <b v="0"/>
    <m/>
    <b v="0"/>
    <m/>
    <n v="76"/>
    <n v="61"/>
    <n v="58"/>
    <b v="0"/>
    <m/>
    <x v="0"/>
    <m/>
    <x v="5"/>
    <x v="6"/>
    <n v="6"/>
    <s v="Pediu prazo adicional para retorno."/>
  </r>
  <r>
    <n v="210"/>
    <s v="Ana Julia Lima"/>
    <s v="carvalhofernando@farias.br"/>
    <s v="REQ-1014"/>
    <x v="2"/>
    <s v="Data"/>
    <s v="Rio de Janeiro"/>
    <s v="Presencial"/>
    <x v="0"/>
    <x v="7"/>
    <s v="Ana Laura"/>
    <x v="5"/>
    <x v="1"/>
    <x v="0"/>
    <d v="2025-03-18T00:00:00"/>
    <d v="2025-03-24T00:00:00"/>
    <b v="0"/>
    <m/>
    <b v="0"/>
    <m/>
    <b v="0"/>
    <m/>
    <b v="0"/>
    <m/>
    <n v="60"/>
    <n v="83"/>
    <n v="75"/>
    <b v="0"/>
    <m/>
    <x v="0"/>
    <m/>
    <x v="2"/>
    <x v="1"/>
    <n v="6"/>
    <s v="Boa comunicação e resposta rápida."/>
  </r>
  <r>
    <n v="211"/>
    <s v="Isadora Vieira"/>
    <s v="bernardo43@bol.com.br"/>
    <s v="REQ-1013"/>
    <x v="2"/>
    <s v="Data"/>
    <s v="Campinas"/>
    <s v="Presencial"/>
    <x v="1"/>
    <x v="9"/>
    <s v="Luna"/>
    <x v="3"/>
    <x v="5"/>
    <x v="0"/>
    <d v="2025-03-07T00:00:00"/>
    <d v="2025-03-12T00:00:00"/>
    <b v="1"/>
    <n v="9"/>
    <b v="1"/>
    <d v="2025-03-18T00:00:00"/>
    <b v="1"/>
    <d v="2025-03-27T00:00:00"/>
    <b v="1"/>
    <d v="2025-03-31T00:00:00"/>
    <n v="80"/>
    <n v="77"/>
    <n v="73"/>
    <b v="1"/>
    <d v="2025-04-02T00:00:00"/>
    <x v="1"/>
    <d v="2025-04-06T00:00:00"/>
    <x v="4"/>
    <x v="0"/>
    <n v="30"/>
    <s v="Demonstrou interesse claro na oportunidade."/>
  </r>
  <r>
    <n v="212"/>
    <s v="Bruna Cardoso"/>
    <s v="cardosoevelyn@martins.org"/>
    <s v="REQ-1034"/>
    <x v="0"/>
    <s v="People"/>
    <s v="Rio de Janeiro"/>
    <s v="Remoto"/>
    <x v="1"/>
    <x v="81"/>
    <s v="Nicolas"/>
    <x v="1"/>
    <x v="0"/>
    <x v="2"/>
    <d v="2025-03-09T00:00:00"/>
    <d v="2025-03-11T00:00:00"/>
    <b v="1"/>
    <n v="12"/>
    <b v="1"/>
    <d v="2025-03-14T00:00:00"/>
    <b v="1"/>
    <d v="2025-03-17T00:00:00"/>
    <b v="1"/>
    <d v="2025-03-22T00:00:00"/>
    <n v="61"/>
    <n v="77"/>
    <n v="75"/>
    <b v="0"/>
    <m/>
    <x v="0"/>
    <m/>
    <x v="0"/>
    <x v="9"/>
    <n v="13"/>
    <s v="Bom potencial de evolução."/>
  </r>
  <r>
    <n v="213"/>
    <s v="Marina Barros"/>
    <s v="luanafogaca@bol.com.br"/>
    <s v="REQ-1046"/>
    <x v="3"/>
    <s v="Tech"/>
    <s v="Rio de Janeiro"/>
    <s v="Híbrido"/>
    <x v="0"/>
    <x v="81"/>
    <s v="Thales"/>
    <x v="4"/>
    <x v="4"/>
    <x v="2"/>
    <d v="2025-01-21T00:00:00"/>
    <d v="2025-01-23T00:00:00"/>
    <b v="0"/>
    <m/>
    <b v="0"/>
    <m/>
    <b v="0"/>
    <m/>
    <b v="0"/>
    <m/>
    <n v="59"/>
    <n v="85"/>
    <n v="75"/>
    <b v="0"/>
    <m/>
    <x v="0"/>
    <m/>
    <x v="2"/>
    <x v="1"/>
    <n v="2"/>
    <s v="Feedback positivo do gestor."/>
  </r>
  <r>
    <n v="214"/>
    <s v="Nathan Nogueira"/>
    <s v="vicentealmeida@nogueira.com"/>
    <s v="REQ-1019"/>
    <x v="3"/>
    <s v="Tech"/>
    <s v="Rio de Janeiro"/>
    <s v="Presencial"/>
    <x v="2"/>
    <x v="58"/>
    <s v="Maria Clara"/>
    <x v="4"/>
    <x v="5"/>
    <x v="0"/>
    <d v="2025-05-04T00:00:00"/>
    <d v="2025-05-08T00:00:00"/>
    <b v="1"/>
    <n v="8"/>
    <b v="1"/>
    <d v="2025-05-11T00:00:00"/>
    <b v="1"/>
    <d v="2025-05-23T00:00:00"/>
    <b v="0"/>
    <m/>
    <n v="59"/>
    <n v="61"/>
    <n v="65"/>
    <b v="0"/>
    <m/>
    <x v="0"/>
    <m/>
    <x v="3"/>
    <x v="9"/>
    <n v="19"/>
    <s v="Apresentou aderência forte ao contexto da vaga."/>
  </r>
  <r>
    <n v="215"/>
    <s v="Sra. Valentina Cunha"/>
    <s v="sophierodrigues@alves.net"/>
    <s v="REQ-1049"/>
    <x v="3"/>
    <s v="Tech"/>
    <s v="Campinas"/>
    <s v="Híbrido"/>
    <x v="1"/>
    <x v="39"/>
    <s v="Luna"/>
    <x v="3"/>
    <x v="5"/>
    <x v="2"/>
    <d v="2025-05-01T00:00:00"/>
    <d v="2025-05-05T00:00:00"/>
    <b v="1"/>
    <n v="12"/>
    <b v="1"/>
    <d v="2025-05-12T00:00:00"/>
    <b v="0"/>
    <m/>
    <b v="0"/>
    <m/>
    <n v="76"/>
    <n v="75"/>
    <n v="64"/>
    <b v="0"/>
    <m/>
    <x v="0"/>
    <m/>
    <x v="5"/>
    <x v="0"/>
    <n v="11"/>
    <s v="Pediu prazo adicional para retorno."/>
  </r>
  <r>
    <n v="216"/>
    <s v="Clarice Vieira"/>
    <s v="carolineazevedo@uol.com.br"/>
    <s v="REQ-1090"/>
    <x v="1"/>
    <s v="Tech"/>
    <s v="Curitiba"/>
    <s v="Presencial"/>
    <x v="0"/>
    <x v="94"/>
    <s v="Ana Luiza"/>
    <x v="2"/>
    <x v="5"/>
    <x v="3"/>
    <d v="2025-04-02T00:00:00"/>
    <d v="2025-04-05T00:00:00"/>
    <b v="1"/>
    <n v="12"/>
    <b v="1"/>
    <d v="2025-04-15T00:00:00"/>
    <b v="1"/>
    <d v="2025-04-21T00:00:00"/>
    <b v="1"/>
    <d v="2025-04-22T00:00:00"/>
    <n v="64"/>
    <n v="63"/>
    <n v="67"/>
    <b v="0"/>
    <m/>
    <x v="0"/>
    <m/>
    <x v="0"/>
    <x v="9"/>
    <n v="20"/>
    <s v="Baixa responsividade nas etapas iniciais."/>
  </r>
  <r>
    <n v="217"/>
    <s v="Júlia Cunha"/>
    <s v="dcaldeira@das.br"/>
    <s v="REQ-1012"/>
    <x v="0"/>
    <s v="People"/>
    <s v="Rio de Janeiro"/>
    <s v="Presencial"/>
    <x v="2"/>
    <x v="71"/>
    <s v="Gustavo Henrique"/>
    <x v="0"/>
    <x v="0"/>
    <x v="2"/>
    <d v="2025-02-16T00:00:00"/>
    <d v="2025-02-22T00:00:00"/>
    <b v="0"/>
    <m/>
    <b v="0"/>
    <m/>
    <b v="0"/>
    <m/>
    <b v="0"/>
    <m/>
    <n v="61"/>
    <n v="64"/>
    <n v="79"/>
    <b v="0"/>
    <m/>
    <x v="0"/>
    <m/>
    <x v="2"/>
    <x v="1"/>
    <n v="6"/>
    <s v="Demonstrou interesse claro na oportunidade."/>
  </r>
  <r>
    <n v="218"/>
    <s v="Letícia Lima"/>
    <s v="qsilveira@moura.com"/>
    <s v="REQ-1057"/>
    <x v="2"/>
    <s v="Operations"/>
    <s v="Belo Horizonte"/>
    <s v="Presencial"/>
    <x v="1"/>
    <x v="50"/>
    <s v="Pedro Miguel"/>
    <x v="2"/>
    <x v="5"/>
    <x v="3"/>
    <d v="2025-01-02T00:00:00"/>
    <d v="2025-01-05T00:00:00"/>
    <b v="1"/>
    <n v="10"/>
    <b v="1"/>
    <d v="2025-01-09T00:00:00"/>
    <b v="1"/>
    <d v="2025-01-17T00:00:00"/>
    <b v="1"/>
    <d v="2025-01-19T00:00:00"/>
    <n v="77"/>
    <n v="51"/>
    <n v="68"/>
    <b v="0"/>
    <m/>
    <x v="0"/>
    <m/>
    <x v="0"/>
    <x v="7"/>
    <n v="17"/>
    <s v="Pediu prazo adicional para retorno."/>
  </r>
  <r>
    <n v="219"/>
    <s v="Sr. Leandro Rodrigues"/>
    <s v="carvalhomurilo@cavalcanti.br"/>
    <s v="REQ-1062"/>
    <x v="2"/>
    <s v="Operations"/>
    <s v="São Paulo"/>
    <s v="Híbrido"/>
    <x v="1"/>
    <x v="66"/>
    <s v="Ana Beatriz"/>
    <x v="4"/>
    <x v="6"/>
    <x v="2"/>
    <d v="2025-02-15T00:00:00"/>
    <d v="2025-02-20T00:00:00"/>
    <b v="1"/>
    <n v="3"/>
    <b v="0"/>
    <m/>
    <b v="0"/>
    <m/>
    <b v="0"/>
    <m/>
    <n v="92"/>
    <n v="79"/>
    <n v="80"/>
    <b v="0"/>
    <m/>
    <x v="0"/>
    <m/>
    <x v="1"/>
    <x v="3"/>
    <n v="5"/>
    <s v="Demonstrou interesse claro na oportunidade."/>
  </r>
  <r>
    <n v="220"/>
    <s v="Miguel Nascimento"/>
    <s v="bmartins@oliveira.org"/>
    <s v="REQ-1041"/>
    <x v="1"/>
    <s v="Tech"/>
    <s v="Campinas"/>
    <s v="Híbrido"/>
    <x v="1"/>
    <x v="10"/>
    <s v="João Felipe"/>
    <x v="3"/>
    <x v="2"/>
    <x v="1"/>
    <d v="2025-03-15T00:00:00"/>
    <d v="2025-03-18T00:00:00"/>
    <b v="0"/>
    <m/>
    <b v="0"/>
    <m/>
    <b v="0"/>
    <m/>
    <b v="0"/>
    <m/>
    <n v="73"/>
    <n v="76"/>
    <n v="70"/>
    <b v="0"/>
    <m/>
    <x v="0"/>
    <m/>
    <x v="2"/>
    <x v="1"/>
    <n v="3"/>
    <s v="Pontos fortes em execução e autonomia."/>
  </r>
  <r>
    <n v="221"/>
    <s v="Caroline das Neves"/>
    <s v="theocastro@farias.com"/>
    <s v="REQ-1050"/>
    <x v="2"/>
    <s v="Data"/>
    <s v="Remote"/>
    <s v="Remoto"/>
    <x v="1"/>
    <x v="75"/>
    <s v="Lorena"/>
    <x v="1"/>
    <x v="3"/>
    <x v="1"/>
    <d v="2025-04-06T00:00:00"/>
    <d v="2025-04-08T00:00:00"/>
    <b v="0"/>
    <m/>
    <b v="0"/>
    <m/>
    <b v="0"/>
    <m/>
    <b v="0"/>
    <m/>
    <n v="90"/>
    <n v="63"/>
    <n v="74"/>
    <b v="0"/>
    <m/>
    <x v="0"/>
    <m/>
    <x v="2"/>
    <x v="1"/>
    <n v="2"/>
    <s v="Baixa responsividade nas etapas iniciais."/>
  </r>
  <r>
    <n v="222"/>
    <s v="Nathan da Mota"/>
    <s v="isadora32@das.net"/>
    <s v="REQ-1037"/>
    <x v="2"/>
    <s v="Data"/>
    <s v="Rio de Janeiro"/>
    <s v="Presencial"/>
    <x v="2"/>
    <x v="52"/>
    <s v="Isaac"/>
    <x v="0"/>
    <x v="1"/>
    <x v="2"/>
    <d v="2025-01-09T00:00:00"/>
    <d v="2025-01-18T00:00:00"/>
    <b v="1"/>
    <n v="7"/>
    <b v="1"/>
    <d v="2025-01-19T00:00:00"/>
    <b v="1"/>
    <d v="2025-01-28T00:00:00"/>
    <b v="1"/>
    <d v="2025-02-07T00:00:00"/>
    <n v="53"/>
    <n v="88"/>
    <n v="66"/>
    <b v="0"/>
    <m/>
    <x v="0"/>
    <m/>
    <x v="0"/>
    <x v="8"/>
    <n v="29"/>
    <s v="Baixa responsividade nas etapas iniciais."/>
  </r>
  <r>
    <n v="223"/>
    <s v="Rebeca Vieira"/>
    <s v="raquel65@uol.com.br"/>
    <s v="REQ-1065"/>
    <x v="3"/>
    <s v="People"/>
    <s v="Remote"/>
    <s v="Presencial"/>
    <x v="1"/>
    <x v="80"/>
    <s v="Eloah"/>
    <x v="2"/>
    <x v="1"/>
    <x v="0"/>
    <d v="2025-01-14T00:00:00"/>
    <d v="2025-01-14T00:00:00"/>
    <b v="1"/>
    <n v="2"/>
    <b v="1"/>
    <d v="2025-01-22T00:00:00"/>
    <b v="0"/>
    <m/>
    <b v="0"/>
    <m/>
    <n v="79"/>
    <n v="86"/>
    <n v="92"/>
    <b v="0"/>
    <m/>
    <x v="0"/>
    <m/>
    <x v="5"/>
    <x v="0"/>
    <n v="8"/>
    <s v="Boa comunicação e resposta rápida."/>
  </r>
  <r>
    <n v="224"/>
    <s v="Cecília Santos"/>
    <s v="yrezende@farias.br"/>
    <s v="REQ-1023"/>
    <x v="2"/>
    <s v="Tech"/>
    <s v="São Paulo"/>
    <s v="Híbrido"/>
    <x v="2"/>
    <x v="4"/>
    <s v="Pedro Henrique"/>
    <x v="4"/>
    <x v="4"/>
    <x v="3"/>
    <d v="2025-04-25T00:00:00"/>
    <d v="2025-04-27T00:00:00"/>
    <b v="1"/>
    <n v="9"/>
    <b v="1"/>
    <d v="2025-05-01T00:00:00"/>
    <b v="1"/>
    <d v="2025-05-07T00:00:00"/>
    <b v="1"/>
    <d v="2025-05-09T00:00:00"/>
    <n v="80"/>
    <n v="70"/>
    <n v="65"/>
    <b v="0"/>
    <m/>
    <x v="0"/>
    <m/>
    <x v="0"/>
    <x v="8"/>
    <n v="14"/>
    <s v="Pediu prazo adicional para retorno."/>
  </r>
  <r>
    <n v="225"/>
    <s v="Lucas Cavalcanti"/>
    <s v="luiz-miguelmendes@ig.com.br"/>
    <s v="REQ-1053"/>
    <x v="3"/>
    <s v="Data"/>
    <s v="São Paulo"/>
    <s v="Presencial"/>
    <x v="1"/>
    <x v="88"/>
    <s v="Luigi"/>
    <x v="0"/>
    <x v="7"/>
    <x v="3"/>
    <d v="2025-01-24T00:00:00"/>
    <d v="2025-01-27T00:00:00"/>
    <b v="0"/>
    <m/>
    <b v="0"/>
    <m/>
    <b v="0"/>
    <m/>
    <b v="0"/>
    <m/>
    <n v="79"/>
    <n v="70"/>
    <n v="61"/>
    <b v="0"/>
    <m/>
    <x v="0"/>
    <m/>
    <x v="2"/>
    <x v="1"/>
    <n v="3"/>
    <s v="Experiência sólida, mas expectativa salarial alta."/>
  </r>
  <r>
    <n v="226"/>
    <s v="Sra. Ana da Cruz"/>
    <s v="sabrinacardoso@rezende.br"/>
    <s v="REQ-1019"/>
    <x v="0"/>
    <s v="Data"/>
    <s v="Rio de Janeiro"/>
    <s v="Híbrido"/>
    <x v="3"/>
    <x v="95"/>
    <s v="João Lucas"/>
    <x v="2"/>
    <x v="0"/>
    <x v="2"/>
    <d v="2025-04-27T00:00:00"/>
    <d v="2025-04-30T00:00:00"/>
    <b v="1"/>
    <n v="0"/>
    <b v="1"/>
    <d v="2025-05-09T00:00:00"/>
    <b v="1"/>
    <d v="2025-05-20T00:00:00"/>
    <b v="1"/>
    <d v="2025-05-26T00:00:00"/>
    <n v="74"/>
    <n v="64"/>
    <n v="56"/>
    <b v="0"/>
    <m/>
    <x v="0"/>
    <m/>
    <x v="0"/>
    <x v="0"/>
    <n v="29"/>
    <s v="Pontos fortes em execução e autonomia."/>
  </r>
  <r>
    <n v="227"/>
    <s v="Eloah Rezende"/>
    <s v="da-rochaisis@ramos.org"/>
    <s v="REQ-1086"/>
    <x v="0"/>
    <s v="People"/>
    <s v="Curitiba"/>
    <s v="Remoto"/>
    <x v="0"/>
    <x v="79"/>
    <s v="Leandro"/>
    <x v="3"/>
    <x v="4"/>
    <x v="0"/>
    <d v="2025-03-19T00:00:00"/>
    <d v="2025-03-24T00:00:00"/>
    <b v="1"/>
    <n v="5"/>
    <b v="1"/>
    <d v="2025-03-26T00:00:00"/>
    <b v="1"/>
    <d v="2025-03-28T00:00:00"/>
    <b v="1"/>
    <d v="2025-04-01T00:00:00"/>
    <n v="88"/>
    <n v="73"/>
    <n v="76"/>
    <b v="1"/>
    <d v="2025-04-05T00:00:00"/>
    <x v="1"/>
    <d v="2025-04-17T00:00:00"/>
    <x v="4"/>
    <x v="0"/>
    <n v="29"/>
    <s v="Experiência sólida, mas expectativa salarial alta."/>
  </r>
  <r>
    <n v="228"/>
    <s v="Pedro Henrique da Rosa"/>
    <s v="teixeiracaroline@porto.com"/>
    <s v="REQ-1077"/>
    <x v="2"/>
    <s v="People"/>
    <s v="Rio de Janeiro"/>
    <s v="Híbrido"/>
    <x v="0"/>
    <x v="24"/>
    <s v="Lorena"/>
    <x v="4"/>
    <x v="5"/>
    <x v="2"/>
    <d v="2025-02-07T00:00:00"/>
    <d v="2025-02-07T00:00:00"/>
    <b v="1"/>
    <n v="6"/>
    <b v="1"/>
    <d v="2025-02-10T00:00:00"/>
    <b v="1"/>
    <d v="2025-02-23T00:00:00"/>
    <b v="1"/>
    <d v="2025-02-24T00:00:00"/>
    <n v="63"/>
    <n v="60"/>
    <n v="53"/>
    <b v="0"/>
    <m/>
    <x v="0"/>
    <m/>
    <x v="0"/>
    <x v="1"/>
    <n v="17"/>
    <s v="Experiência sólida, mas expectativa salarial alta."/>
  </r>
  <r>
    <n v="229"/>
    <s v="Sra. Lorena Porto"/>
    <s v="manueladuarte@gmail.com"/>
    <s v="REQ-1076"/>
    <x v="3"/>
    <s v="Operations"/>
    <s v="Belo Horizonte"/>
    <s v="Remoto"/>
    <x v="0"/>
    <x v="96"/>
    <s v="João Pedro"/>
    <x v="3"/>
    <x v="4"/>
    <x v="3"/>
    <d v="2025-05-14T00:00:00"/>
    <d v="2025-05-17T00:00:00"/>
    <b v="1"/>
    <n v="6"/>
    <b v="1"/>
    <d v="2025-05-25T00:00:00"/>
    <b v="1"/>
    <d v="2025-06-03T00:00:00"/>
    <b v="1"/>
    <d v="2025-06-06T00:00:00"/>
    <n v="86"/>
    <n v="77"/>
    <n v="69"/>
    <b v="1"/>
    <d v="2025-06-11T00:00:00"/>
    <x v="1"/>
    <d v="2025-06-20T00:00:00"/>
    <x v="4"/>
    <x v="0"/>
    <n v="37"/>
    <s v="Feedback positivo do gestor."/>
  </r>
  <r>
    <n v="230"/>
    <s v="Marcos Vinicius da Mata"/>
    <s v="zfogaca@rocha.com"/>
    <s v="REQ-1051"/>
    <x v="3"/>
    <s v="People"/>
    <s v="Campinas"/>
    <s v="Remoto"/>
    <x v="1"/>
    <x v="35"/>
    <s v="Benício"/>
    <x v="4"/>
    <x v="5"/>
    <x v="2"/>
    <d v="2025-02-25T00:00:00"/>
    <d v="2025-03-06T00:00:00"/>
    <b v="0"/>
    <m/>
    <b v="0"/>
    <m/>
    <b v="0"/>
    <m/>
    <b v="0"/>
    <m/>
    <n v="66"/>
    <n v="63"/>
    <n v="67"/>
    <b v="0"/>
    <m/>
    <x v="0"/>
    <m/>
    <x v="2"/>
    <x v="1"/>
    <n v="9"/>
    <s v="Pontos fortes em execução e autonomia."/>
  </r>
  <r>
    <n v="231"/>
    <s v="Eduarda Moreira"/>
    <s v="zcunha@castro.br"/>
    <s v="REQ-1075"/>
    <x v="2"/>
    <s v="Operations"/>
    <s v="Belo Horizonte"/>
    <s v="Remoto"/>
    <x v="2"/>
    <x v="36"/>
    <s v="Clara"/>
    <x v="4"/>
    <x v="2"/>
    <x v="0"/>
    <d v="2025-03-10T00:00:00"/>
    <d v="2025-03-13T00:00:00"/>
    <b v="1"/>
    <n v="0"/>
    <b v="1"/>
    <d v="2025-03-15T00:00:00"/>
    <b v="1"/>
    <d v="2025-03-25T00:00:00"/>
    <b v="1"/>
    <d v="2025-03-29T00:00:00"/>
    <n v="81"/>
    <n v="68"/>
    <n v="60"/>
    <b v="0"/>
    <m/>
    <x v="0"/>
    <m/>
    <x v="0"/>
    <x v="3"/>
    <n v="19"/>
    <s v="Baixa responsividade nas etapas iniciais."/>
  </r>
  <r>
    <n v="232"/>
    <s v="Srta. Maria Fernanda Barbosa"/>
    <s v="ana-vitoria12@uol.com.br"/>
    <s v="REQ-1055"/>
    <x v="3"/>
    <s v="Data"/>
    <s v="Belo Horizonte"/>
    <s v="Híbrido"/>
    <x v="0"/>
    <x v="48"/>
    <s v="Noah"/>
    <x v="2"/>
    <x v="7"/>
    <x v="2"/>
    <d v="2025-05-25T00:00:00"/>
    <d v="2025-05-25T00:00:00"/>
    <b v="1"/>
    <n v="11"/>
    <b v="1"/>
    <d v="2025-05-29T00:00:00"/>
    <b v="1"/>
    <d v="2025-06-11T00:00:00"/>
    <b v="1"/>
    <d v="2025-06-20T00:00:00"/>
    <n v="54"/>
    <n v="79"/>
    <n v="77"/>
    <b v="0"/>
    <m/>
    <x v="0"/>
    <m/>
    <x v="0"/>
    <x v="3"/>
    <n v="26"/>
    <s v="Bom potencial de evolução."/>
  </r>
  <r>
    <n v="233"/>
    <s v="Letícia da Mata"/>
    <s v="barbaraoliveira@hotmail.com"/>
    <s v="REQ-1003"/>
    <x v="0"/>
    <s v="Tech"/>
    <s v="Belo Horizonte"/>
    <s v="Híbrido"/>
    <x v="3"/>
    <x v="54"/>
    <s v="João Guilherme"/>
    <x v="2"/>
    <x v="4"/>
    <x v="2"/>
    <d v="2025-05-25T00:00:00"/>
    <d v="2025-05-29T00:00:00"/>
    <b v="0"/>
    <m/>
    <b v="0"/>
    <m/>
    <b v="0"/>
    <m/>
    <b v="0"/>
    <m/>
    <n v="74"/>
    <n v="78"/>
    <n v="88"/>
    <b v="0"/>
    <m/>
    <x v="0"/>
    <m/>
    <x v="2"/>
    <x v="1"/>
    <n v="4"/>
    <s v="Apresentou aderência forte ao contexto da vaga."/>
  </r>
  <r>
    <n v="234"/>
    <s v="Francisco Martins"/>
    <s v="qfreitas@yahoo.com.br"/>
    <s v="REQ-1019"/>
    <x v="2"/>
    <s v="Tech"/>
    <s v="Curitiba"/>
    <s v="Presencial"/>
    <x v="1"/>
    <x v="28"/>
    <s v="Igor"/>
    <x v="5"/>
    <x v="5"/>
    <x v="0"/>
    <d v="2025-03-16T00:00:00"/>
    <d v="2025-03-21T00:00:00"/>
    <b v="1"/>
    <n v="9"/>
    <b v="1"/>
    <d v="2025-03-24T00:00:00"/>
    <b v="1"/>
    <d v="2025-03-31T00:00:00"/>
    <b v="0"/>
    <m/>
    <n v="71"/>
    <n v="73"/>
    <n v="80"/>
    <b v="0"/>
    <m/>
    <x v="0"/>
    <m/>
    <x v="3"/>
    <x v="6"/>
    <n v="15"/>
    <s v="Apresentou aderência forte ao contexto da vaga."/>
  </r>
  <r>
    <n v="235"/>
    <s v="João Guilherme da Conceição"/>
    <s v="dferreira@costela.com"/>
    <s v="REQ-1026"/>
    <x v="2"/>
    <s v="Tech"/>
    <s v="São Paulo"/>
    <s v="Híbrido"/>
    <x v="0"/>
    <x v="37"/>
    <s v="Cecília"/>
    <x v="4"/>
    <x v="1"/>
    <x v="2"/>
    <d v="2025-02-22T00:00:00"/>
    <d v="2025-02-22T00:00:00"/>
    <b v="1"/>
    <n v="9"/>
    <b v="1"/>
    <d v="2025-02-26T00:00:00"/>
    <b v="1"/>
    <d v="2025-03-03T00:00:00"/>
    <b v="1"/>
    <d v="2025-03-11T00:00:00"/>
    <n v="63"/>
    <n v="94"/>
    <n v="78"/>
    <b v="0"/>
    <m/>
    <x v="0"/>
    <m/>
    <x v="0"/>
    <x v="4"/>
    <n v="17"/>
    <s v="Apresentou aderência forte ao contexto da vaga."/>
  </r>
  <r>
    <n v="236"/>
    <s v="Ian Martins"/>
    <s v="afreitas@gmail.com"/>
    <s v="REQ-1012"/>
    <x v="2"/>
    <s v="Operations"/>
    <s v="Belo Horizonte"/>
    <s v="Híbrido"/>
    <x v="0"/>
    <x v="34"/>
    <s v="Pedro"/>
    <x v="5"/>
    <x v="3"/>
    <x v="3"/>
    <d v="2025-01-21T00:00:00"/>
    <d v="2025-01-21T00:00:00"/>
    <b v="0"/>
    <m/>
    <b v="0"/>
    <m/>
    <b v="0"/>
    <m/>
    <b v="0"/>
    <m/>
    <n v="100"/>
    <n v="81"/>
    <n v="75"/>
    <b v="0"/>
    <m/>
    <x v="0"/>
    <m/>
    <x v="2"/>
    <x v="1"/>
    <n v="0"/>
    <s v="Apresentou aderência forte ao contexto da vaga."/>
  </r>
  <r>
    <n v="237"/>
    <s v="Srta. Maria Cecília Lima"/>
    <s v="fernando22@rocha.com"/>
    <s v="REQ-1044"/>
    <x v="1"/>
    <s v="Tech"/>
    <s v="Rio de Janeiro"/>
    <s v="Híbrido"/>
    <x v="0"/>
    <x v="5"/>
    <s v="Lívia"/>
    <x v="1"/>
    <x v="6"/>
    <x v="0"/>
    <d v="2025-01-07T00:00:00"/>
    <d v="2025-01-11T00:00:00"/>
    <b v="1"/>
    <n v="12"/>
    <b v="1"/>
    <d v="2025-01-19T00:00:00"/>
    <b v="1"/>
    <d v="2025-01-26T00:00:00"/>
    <b v="1"/>
    <d v="2025-02-05T00:00:00"/>
    <n v="84"/>
    <n v="84"/>
    <n v="83"/>
    <b v="1"/>
    <d v="2025-02-08T00:00:00"/>
    <x v="1"/>
    <d v="2025-02-10T00:00:00"/>
    <x v="4"/>
    <x v="0"/>
    <n v="34"/>
    <s v="Apresentou aderência forte ao contexto da vaga."/>
  </r>
  <r>
    <n v="238"/>
    <s v="Luana Lopes"/>
    <s v="kaique06@santos.com"/>
    <s v="REQ-1086"/>
    <x v="1"/>
    <s v="Tech"/>
    <s v="Curitiba"/>
    <s v="Híbrido"/>
    <x v="1"/>
    <x v="53"/>
    <s v="Bárbara"/>
    <x v="4"/>
    <x v="5"/>
    <x v="2"/>
    <d v="2025-04-02T00:00:00"/>
    <d v="2025-04-04T00:00:00"/>
    <b v="1"/>
    <n v="8"/>
    <b v="1"/>
    <d v="2025-04-10T00:00:00"/>
    <b v="1"/>
    <d v="2025-04-19T00:00:00"/>
    <b v="1"/>
    <d v="2025-04-20T00:00:00"/>
    <n v="60"/>
    <n v="74"/>
    <n v="66"/>
    <b v="0"/>
    <m/>
    <x v="0"/>
    <m/>
    <x v="0"/>
    <x v="1"/>
    <n v="18"/>
    <s v="Apresentou aderência forte ao contexto da vaga."/>
  </r>
  <r>
    <n v="239"/>
    <s v="Gabrielly Araújo"/>
    <s v="rebeca23@nogueira.br"/>
    <s v="REQ-1027"/>
    <x v="3"/>
    <s v="People"/>
    <s v="Rio de Janeiro"/>
    <s v="Híbrido"/>
    <x v="3"/>
    <x v="8"/>
    <s v="Larissa"/>
    <x v="5"/>
    <x v="2"/>
    <x v="3"/>
    <d v="2025-03-16T00:00:00"/>
    <d v="2025-03-18T00:00:00"/>
    <b v="1"/>
    <n v="10"/>
    <b v="0"/>
    <m/>
    <b v="0"/>
    <m/>
    <b v="0"/>
    <m/>
    <n v="86"/>
    <n v="79"/>
    <n v="71"/>
    <b v="0"/>
    <m/>
    <x v="0"/>
    <m/>
    <x v="1"/>
    <x v="0"/>
    <n v="2"/>
    <s v="Perfil técnico acima da média."/>
  </r>
  <r>
    <n v="240"/>
    <s v="Diego Teixeira"/>
    <s v="sdas-neves@uol.com.br"/>
    <s v="REQ-1040"/>
    <x v="0"/>
    <s v="Data"/>
    <s v="Remote"/>
    <s v="Presencial"/>
    <x v="0"/>
    <x v="32"/>
    <s v="Vitor"/>
    <x v="3"/>
    <x v="0"/>
    <x v="3"/>
    <d v="2025-02-07T00:00:00"/>
    <d v="2025-02-08T00:00:00"/>
    <b v="1"/>
    <n v="4"/>
    <b v="1"/>
    <d v="2025-02-09T00:00:00"/>
    <b v="1"/>
    <d v="2025-02-23T00:00:00"/>
    <b v="1"/>
    <d v="2025-02-26T00:00:00"/>
    <n v="80"/>
    <n v="82"/>
    <n v="100"/>
    <b v="1"/>
    <d v="2025-03-03T00:00:00"/>
    <x v="1"/>
    <d v="2025-03-06T00:00:00"/>
    <x v="4"/>
    <x v="0"/>
    <n v="27"/>
    <s v="Boa comunicação e resposta rápida."/>
  </r>
  <r>
    <n v="241"/>
    <s v="Luiza da Mota"/>
    <s v="epires@nascimento.br"/>
    <s v="REQ-1000"/>
    <x v="2"/>
    <s v="Operations"/>
    <s v="São Paulo"/>
    <s v="Híbrido"/>
    <x v="1"/>
    <x v="8"/>
    <s v="Calebe"/>
    <x v="3"/>
    <x v="4"/>
    <x v="2"/>
    <d v="2025-05-12T00:00:00"/>
    <d v="2025-05-15T00:00:00"/>
    <b v="1"/>
    <n v="7"/>
    <b v="1"/>
    <d v="2025-05-23T00:00:00"/>
    <b v="1"/>
    <d v="2025-05-31T00:00:00"/>
    <b v="1"/>
    <d v="2025-06-07T00:00:00"/>
    <n v="65"/>
    <n v="67"/>
    <n v="49"/>
    <b v="0"/>
    <m/>
    <x v="0"/>
    <m/>
    <x v="0"/>
    <x v="4"/>
    <n v="26"/>
    <s v="Baixa responsividade nas etapas iniciais."/>
  </r>
  <r>
    <n v="242"/>
    <s v="Miguel Rocha"/>
    <s v="enovaes@barros.br"/>
    <s v="REQ-1037"/>
    <x v="3"/>
    <s v="Data"/>
    <s v="Rio de Janeiro"/>
    <s v="Remoto"/>
    <x v="1"/>
    <x v="48"/>
    <s v="Sophie"/>
    <x v="1"/>
    <x v="4"/>
    <x v="2"/>
    <d v="2025-02-23T00:00:00"/>
    <d v="2025-02-25T00:00:00"/>
    <b v="1"/>
    <n v="4"/>
    <b v="1"/>
    <d v="2025-03-05T00:00:00"/>
    <b v="1"/>
    <d v="2025-03-12T00:00:00"/>
    <b v="1"/>
    <d v="2025-03-16T00:00:00"/>
    <n v="75"/>
    <n v="74"/>
    <n v="80"/>
    <b v="0"/>
    <m/>
    <x v="0"/>
    <m/>
    <x v="0"/>
    <x v="0"/>
    <n v="21"/>
    <s v="Experiência sólida, mas expectativa salarial alta."/>
  </r>
  <r>
    <n v="243"/>
    <s v="Sr. Joaquim Pereira"/>
    <s v="leonardo20@nogueira.com"/>
    <s v="REQ-1066"/>
    <x v="3"/>
    <s v="People"/>
    <s v="Campinas"/>
    <s v="Presencial"/>
    <x v="2"/>
    <x v="97"/>
    <s v="Maria Eduarda"/>
    <x v="1"/>
    <x v="6"/>
    <x v="3"/>
    <d v="2025-01-19T00:00:00"/>
    <d v="2025-01-19T00:00:00"/>
    <b v="1"/>
    <n v="2"/>
    <b v="0"/>
    <m/>
    <b v="0"/>
    <m/>
    <b v="0"/>
    <m/>
    <n v="58"/>
    <n v="56"/>
    <n v="62"/>
    <b v="0"/>
    <m/>
    <x v="0"/>
    <m/>
    <x v="1"/>
    <x v="6"/>
    <n v="0"/>
    <s v="Experiência sólida, mas expectativa salarial alta."/>
  </r>
  <r>
    <n v="244"/>
    <s v="Breno Jesus"/>
    <s v="amanda84@silva.br"/>
    <s v="REQ-1049"/>
    <x v="3"/>
    <s v="Tech"/>
    <s v="São Paulo"/>
    <s v="Remoto"/>
    <x v="3"/>
    <x v="98"/>
    <s v="João"/>
    <x v="0"/>
    <x v="6"/>
    <x v="3"/>
    <d v="2025-01-20T00:00:00"/>
    <d v="2025-01-26T00:00:00"/>
    <b v="0"/>
    <m/>
    <b v="0"/>
    <m/>
    <b v="0"/>
    <m/>
    <b v="0"/>
    <m/>
    <n v="64"/>
    <n v="69"/>
    <n v="80"/>
    <b v="0"/>
    <m/>
    <x v="0"/>
    <m/>
    <x v="2"/>
    <x v="1"/>
    <n v="6"/>
    <s v="Experiência sólida, mas expectativa salarial alta."/>
  </r>
  <r>
    <n v="245"/>
    <s v="Lorenzo Duarte"/>
    <s v="pedro-miguel46@ramos.net"/>
    <s v="REQ-1043"/>
    <x v="0"/>
    <s v="People"/>
    <s v="São Paulo"/>
    <s v="Remoto"/>
    <x v="0"/>
    <x v="12"/>
    <s v="Yasmin"/>
    <x v="2"/>
    <x v="2"/>
    <x v="1"/>
    <d v="2025-02-08T00:00:00"/>
    <d v="2025-02-12T00:00:00"/>
    <b v="1"/>
    <n v="11"/>
    <b v="1"/>
    <d v="2025-02-14T00:00:00"/>
    <b v="0"/>
    <m/>
    <b v="0"/>
    <m/>
    <n v="91"/>
    <n v="70"/>
    <n v="79"/>
    <b v="0"/>
    <m/>
    <x v="0"/>
    <m/>
    <x v="5"/>
    <x v="3"/>
    <n v="6"/>
    <s v="Baixa responsividade nas etapas iniciais."/>
  </r>
  <r>
    <n v="246"/>
    <s v="Carlos Eduardo Cavalcanti"/>
    <s v="bramos@ribeiro.br"/>
    <s v="REQ-1004"/>
    <x v="3"/>
    <s v="Operations"/>
    <s v="Curitiba"/>
    <s v="Presencial"/>
    <x v="0"/>
    <x v="78"/>
    <s v="Amanda"/>
    <x v="0"/>
    <x v="4"/>
    <x v="0"/>
    <d v="2025-05-27T00:00:00"/>
    <d v="2025-05-30T00:00:00"/>
    <b v="0"/>
    <m/>
    <b v="0"/>
    <m/>
    <b v="0"/>
    <m/>
    <b v="0"/>
    <m/>
    <n v="80"/>
    <n v="75"/>
    <n v="71"/>
    <b v="0"/>
    <m/>
    <x v="0"/>
    <m/>
    <x v="2"/>
    <x v="1"/>
    <n v="3"/>
    <s v="Feedback positivo do gestor."/>
  </r>
  <r>
    <n v="247"/>
    <s v="Dr. Vinicius Souza"/>
    <s v="da-costaana-clara@bol.com.br"/>
    <s v="REQ-1026"/>
    <x v="0"/>
    <s v="Data"/>
    <s v="Belo Horizonte"/>
    <s v="Presencial"/>
    <x v="0"/>
    <x v="6"/>
    <s v="Mariana"/>
    <x v="3"/>
    <x v="6"/>
    <x v="2"/>
    <d v="2025-04-06T00:00:00"/>
    <d v="2025-04-11T00:00:00"/>
    <b v="1"/>
    <n v="10"/>
    <b v="1"/>
    <d v="2025-04-15T00:00:00"/>
    <b v="1"/>
    <d v="2025-04-29T00:00:00"/>
    <b v="1"/>
    <d v="2025-05-08T00:00:00"/>
    <n v="91"/>
    <n v="81"/>
    <n v="86"/>
    <b v="0"/>
    <m/>
    <x v="0"/>
    <m/>
    <x v="0"/>
    <x v="0"/>
    <n v="32"/>
    <s v="Pediu prazo adicional para retorno."/>
  </r>
  <r>
    <n v="248"/>
    <s v="Guilherme Novaes"/>
    <s v="brunoramos@ig.com.br"/>
    <s v="REQ-1091"/>
    <x v="3"/>
    <s v="People"/>
    <s v="Belo Horizonte"/>
    <s v="Remoto"/>
    <x v="1"/>
    <x v="62"/>
    <s v="Caroline"/>
    <x v="3"/>
    <x v="5"/>
    <x v="1"/>
    <d v="2025-04-26T00:00:00"/>
    <d v="2025-04-28T00:00:00"/>
    <b v="0"/>
    <m/>
    <b v="0"/>
    <m/>
    <b v="0"/>
    <m/>
    <b v="0"/>
    <m/>
    <n v="67"/>
    <n v="53"/>
    <n v="70"/>
    <b v="0"/>
    <m/>
    <x v="0"/>
    <m/>
    <x v="2"/>
    <x v="1"/>
    <n v="2"/>
    <s v="Baixa responsividade nas etapas iniciais."/>
  </r>
  <r>
    <n v="249"/>
    <s v="Pietra Castro"/>
    <s v="martinsalana@mendes.com"/>
    <s v="REQ-1041"/>
    <x v="1"/>
    <s v="Operations"/>
    <s v="São Paulo"/>
    <s v="Remoto"/>
    <x v="0"/>
    <x v="81"/>
    <s v="Bernardo"/>
    <x v="0"/>
    <x v="4"/>
    <x v="3"/>
    <d v="2025-03-16T00:00:00"/>
    <d v="2025-03-19T00:00:00"/>
    <b v="0"/>
    <m/>
    <b v="0"/>
    <m/>
    <b v="0"/>
    <m/>
    <b v="0"/>
    <m/>
    <n v="53"/>
    <n v="83"/>
    <n v="66"/>
    <b v="0"/>
    <m/>
    <x v="0"/>
    <m/>
    <x v="2"/>
    <x v="1"/>
    <n v="3"/>
    <s v="Apresentou aderência forte ao contexto da vaga."/>
  </r>
  <r>
    <n v="250"/>
    <s v="Dr. Thiago Moraes"/>
    <s v="kaique90@ig.com.br"/>
    <s v="REQ-1094"/>
    <x v="1"/>
    <s v="Tech"/>
    <s v="Curitiba"/>
    <s v="Híbrido"/>
    <x v="1"/>
    <x v="13"/>
    <s v="Valentina"/>
    <x v="5"/>
    <x v="1"/>
    <x v="1"/>
    <d v="2025-02-06T00:00:00"/>
    <d v="2025-02-08T00:00:00"/>
    <b v="0"/>
    <m/>
    <b v="0"/>
    <m/>
    <b v="0"/>
    <m/>
    <b v="0"/>
    <m/>
    <n v="67"/>
    <n v="70"/>
    <n v="64"/>
    <b v="0"/>
    <m/>
    <x v="0"/>
    <m/>
    <x v="2"/>
    <x v="1"/>
    <n v="2"/>
    <s v="Baixa responsividade nas etapas iniciais."/>
  </r>
  <r>
    <n v="251"/>
    <s v="Levi Campos"/>
    <s v="xfogaca@nogueira.org"/>
    <s v="REQ-1097"/>
    <x v="2"/>
    <s v="Operations"/>
    <s v="Rio de Janeiro"/>
    <s v="Presencial"/>
    <x v="2"/>
    <x v="71"/>
    <s v="Luiz Felipe"/>
    <x v="3"/>
    <x v="7"/>
    <x v="3"/>
    <d v="2025-03-19T00:00:00"/>
    <d v="2025-03-19T00:00:00"/>
    <b v="1"/>
    <n v="6"/>
    <b v="1"/>
    <d v="2025-03-26T00:00:00"/>
    <b v="0"/>
    <m/>
    <b v="0"/>
    <m/>
    <n v="74"/>
    <n v="77"/>
    <n v="71"/>
    <b v="0"/>
    <m/>
    <x v="0"/>
    <m/>
    <x v="5"/>
    <x v="2"/>
    <n v="7"/>
    <s v="Baixa responsividade nas etapas iniciais."/>
  </r>
  <r>
    <n v="252"/>
    <s v="Dra. Maria Fernanda Azevedo"/>
    <s v="jesusjulia@ramos.com"/>
    <s v="REQ-1016"/>
    <x v="2"/>
    <s v="People"/>
    <s v="Campinas"/>
    <s v="Presencial"/>
    <x v="2"/>
    <x v="4"/>
    <s v="Sarah"/>
    <x v="2"/>
    <x v="0"/>
    <x v="1"/>
    <d v="2025-03-01T00:00:00"/>
    <d v="2025-03-09T00:00:00"/>
    <b v="0"/>
    <m/>
    <b v="0"/>
    <m/>
    <b v="0"/>
    <m/>
    <b v="0"/>
    <m/>
    <n v="65"/>
    <n v="69"/>
    <n v="67"/>
    <b v="0"/>
    <m/>
    <x v="0"/>
    <m/>
    <x v="2"/>
    <x v="1"/>
    <n v="8"/>
    <s v="Demonstrou interesse claro na oportunidade."/>
  </r>
  <r>
    <n v="253"/>
    <s v="Gabriel da Cruz"/>
    <s v="marina01@gmail.com"/>
    <s v="REQ-1006"/>
    <x v="0"/>
    <s v="People"/>
    <s v="Remote"/>
    <s v="Remoto"/>
    <x v="1"/>
    <x v="99"/>
    <s v="Alícia"/>
    <x v="4"/>
    <x v="5"/>
    <x v="1"/>
    <d v="2025-01-19T00:00:00"/>
    <d v="2025-01-23T00:00:00"/>
    <b v="1"/>
    <n v="12"/>
    <b v="1"/>
    <d v="2025-01-31T00:00:00"/>
    <b v="1"/>
    <d v="2025-02-13T00:00:00"/>
    <b v="1"/>
    <d v="2025-02-15T00:00:00"/>
    <n v="68"/>
    <n v="78"/>
    <n v="77"/>
    <b v="0"/>
    <m/>
    <x v="0"/>
    <m/>
    <x v="0"/>
    <x v="6"/>
    <n v="27"/>
    <s v="Baixa responsividade nas etapas iniciais."/>
  </r>
  <r>
    <n v="254"/>
    <s v="Carolina Pinto"/>
    <s v="pintodanilo@campos.com"/>
    <s v="REQ-1020"/>
    <x v="3"/>
    <s v="Tech"/>
    <s v="São Paulo"/>
    <s v="Híbrido"/>
    <x v="0"/>
    <x v="9"/>
    <s v="Vinicius"/>
    <x v="4"/>
    <x v="2"/>
    <x v="2"/>
    <d v="2025-05-01T00:00:00"/>
    <d v="2025-05-01T00:00:00"/>
    <b v="0"/>
    <m/>
    <b v="0"/>
    <m/>
    <b v="0"/>
    <m/>
    <b v="0"/>
    <m/>
    <n v="70"/>
    <n v="84"/>
    <n v="75"/>
    <b v="0"/>
    <m/>
    <x v="0"/>
    <m/>
    <x v="2"/>
    <x v="1"/>
    <n v="0"/>
    <s v="Experiência sólida, mas expectativa salarial alta."/>
  </r>
  <r>
    <n v="255"/>
    <s v="Luiz Gustavo Jesus"/>
    <s v="davi-luizsales@hotmail.com"/>
    <s v="REQ-1063"/>
    <x v="1"/>
    <s v="Data"/>
    <s v="Belo Horizonte"/>
    <s v="Remoto"/>
    <x v="2"/>
    <x v="57"/>
    <s v="Murilo"/>
    <x v="1"/>
    <x v="3"/>
    <x v="1"/>
    <d v="2025-05-04T00:00:00"/>
    <d v="2025-05-04T00:00:00"/>
    <b v="0"/>
    <m/>
    <b v="0"/>
    <m/>
    <b v="0"/>
    <m/>
    <b v="0"/>
    <m/>
    <n v="76"/>
    <n v="79"/>
    <n v="70"/>
    <b v="0"/>
    <m/>
    <x v="0"/>
    <m/>
    <x v="2"/>
    <x v="1"/>
    <n v="0"/>
    <s v="Baixa responsividade nas etapas iniciais."/>
  </r>
  <r>
    <n v="256"/>
    <s v="Sr. Lucas Lima"/>
    <s v="ana-beatriz95@oliveira.br"/>
    <s v="REQ-1065"/>
    <x v="1"/>
    <s v="People"/>
    <s v="São Paulo"/>
    <s v="Híbrido"/>
    <x v="0"/>
    <x v="66"/>
    <s v="Cecília"/>
    <x v="4"/>
    <x v="0"/>
    <x v="3"/>
    <d v="2025-03-13T00:00:00"/>
    <d v="2025-03-15T00:00:00"/>
    <b v="1"/>
    <n v="7"/>
    <b v="0"/>
    <m/>
    <b v="0"/>
    <m/>
    <b v="0"/>
    <m/>
    <n v="66"/>
    <n v="65"/>
    <n v="55"/>
    <b v="0"/>
    <m/>
    <x v="0"/>
    <m/>
    <x v="1"/>
    <x v="0"/>
    <n v="2"/>
    <s v="Pontos fortes em execução e autonomia."/>
  </r>
  <r>
    <n v="257"/>
    <s v="Emanuella Ribeiro"/>
    <s v="cunhajoao-miguel@ig.com.br"/>
    <s v="REQ-1005"/>
    <x v="2"/>
    <s v="Operations"/>
    <s v="Rio de Janeiro"/>
    <s v="Híbrido"/>
    <x v="1"/>
    <x v="50"/>
    <s v="Paulo"/>
    <x v="5"/>
    <x v="3"/>
    <x v="0"/>
    <d v="2025-04-18T00:00:00"/>
    <d v="2025-04-28T00:00:00"/>
    <b v="1"/>
    <n v="2"/>
    <b v="1"/>
    <d v="2025-04-29T00:00:00"/>
    <b v="1"/>
    <d v="2025-05-12T00:00:00"/>
    <b v="1"/>
    <d v="2025-05-13T00:00:00"/>
    <n v="78"/>
    <n v="74"/>
    <n v="85"/>
    <b v="0"/>
    <m/>
    <x v="0"/>
    <m/>
    <x v="0"/>
    <x v="0"/>
    <n v="25"/>
    <s v="Experiência sólida, mas expectativa salarial alta."/>
  </r>
  <r>
    <n v="258"/>
    <s v="Dra. Camila Viana"/>
    <s v="jsilva@moraes.br"/>
    <s v="REQ-1040"/>
    <x v="2"/>
    <s v="Operations"/>
    <s v="Rio de Janeiro"/>
    <s v="Remoto"/>
    <x v="0"/>
    <x v="37"/>
    <s v="Melissa"/>
    <x v="4"/>
    <x v="3"/>
    <x v="0"/>
    <d v="2025-03-25T00:00:00"/>
    <d v="2025-03-25T00:00:00"/>
    <b v="0"/>
    <m/>
    <b v="0"/>
    <m/>
    <b v="0"/>
    <m/>
    <b v="0"/>
    <m/>
    <n v="83"/>
    <n v="69"/>
    <n v="80"/>
    <b v="0"/>
    <m/>
    <x v="0"/>
    <m/>
    <x v="2"/>
    <x v="1"/>
    <n v="0"/>
    <s v="Perfil técnico acima da média."/>
  </r>
  <r>
    <n v="259"/>
    <s v="Pedro Miguel Freitas"/>
    <s v="thales83@caldeira.net"/>
    <s v="REQ-1010"/>
    <x v="2"/>
    <s v="Operations"/>
    <s v="Curitiba"/>
    <s v="Presencial"/>
    <x v="0"/>
    <x v="61"/>
    <s v="Maria Eduarda"/>
    <x v="0"/>
    <x v="4"/>
    <x v="3"/>
    <d v="2025-05-14T00:00:00"/>
    <d v="2025-05-14T00:00:00"/>
    <b v="1"/>
    <n v="12"/>
    <b v="0"/>
    <m/>
    <b v="0"/>
    <m/>
    <b v="0"/>
    <m/>
    <n v="86"/>
    <n v="83"/>
    <n v="86"/>
    <b v="0"/>
    <m/>
    <x v="0"/>
    <m/>
    <x v="1"/>
    <x v="0"/>
    <n v="0"/>
    <s v="Feedback positivo do gestor."/>
  </r>
  <r>
    <n v="260"/>
    <s v="Dr. João Felipe Azevedo"/>
    <s v="gabrielly44@peixoto.net"/>
    <s v="REQ-1054"/>
    <x v="3"/>
    <s v="Operations"/>
    <s v="Belo Horizonte"/>
    <s v="Presencial"/>
    <x v="0"/>
    <x v="35"/>
    <s v="Lorena"/>
    <x v="4"/>
    <x v="4"/>
    <x v="0"/>
    <d v="2025-01-30T00:00:00"/>
    <d v="2025-02-01T00:00:00"/>
    <b v="1"/>
    <n v="10"/>
    <b v="0"/>
    <m/>
    <b v="0"/>
    <m/>
    <b v="0"/>
    <m/>
    <n v="76"/>
    <n v="69"/>
    <n v="83"/>
    <b v="0"/>
    <m/>
    <x v="0"/>
    <m/>
    <x v="1"/>
    <x v="4"/>
    <n v="2"/>
    <s v="Feedback positivo do gestor."/>
  </r>
  <r>
    <n v="261"/>
    <s v="Davi Lucca Vieira"/>
    <s v="claricemoreira@ramos.com"/>
    <s v="REQ-1010"/>
    <x v="3"/>
    <s v="Tech"/>
    <s v="Campinas"/>
    <s v="Presencial"/>
    <x v="2"/>
    <x v="75"/>
    <s v="Clara"/>
    <x v="2"/>
    <x v="5"/>
    <x v="3"/>
    <d v="2025-05-10T00:00:00"/>
    <d v="2025-05-17T00:00:00"/>
    <b v="0"/>
    <m/>
    <b v="0"/>
    <m/>
    <b v="0"/>
    <m/>
    <b v="0"/>
    <m/>
    <n v="59"/>
    <n v="70"/>
    <n v="57"/>
    <b v="0"/>
    <m/>
    <x v="0"/>
    <m/>
    <x v="2"/>
    <x v="1"/>
    <n v="7"/>
    <s v="Apresentou aderência forte ao contexto da vaga."/>
  </r>
  <r>
    <n v="262"/>
    <s v="Rafael Barros"/>
    <s v="davi-luizsilveira@yahoo.com.br"/>
    <s v="REQ-1091"/>
    <x v="3"/>
    <s v="Operations"/>
    <s v="Remote"/>
    <s v="Presencial"/>
    <x v="1"/>
    <x v="100"/>
    <s v="Isabel"/>
    <x v="3"/>
    <x v="2"/>
    <x v="3"/>
    <d v="2025-04-10T00:00:00"/>
    <d v="2025-04-14T00:00:00"/>
    <b v="0"/>
    <m/>
    <b v="0"/>
    <m/>
    <b v="0"/>
    <m/>
    <b v="0"/>
    <m/>
    <n v="62"/>
    <n v="68"/>
    <n v="57"/>
    <b v="0"/>
    <m/>
    <x v="0"/>
    <m/>
    <x v="2"/>
    <x v="1"/>
    <n v="4"/>
    <s v="Pontos fortes em execução e autonomia."/>
  </r>
  <r>
    <n v="263"/>
    <s v="Miguel da Mota"/>
    <s v="maria-eduardasales@martins.br"/>
    <s v="REQ-1086"/>
    <x v="3"/>
    <s v="Data"/>
    <s v="Curitiba"/>
    <s v="Remoto"/>
    <x v="2"/>
    <x v="58"/>
    <s v="Brenda"/>
    <x v="0"/>
    <x v="6"/>
    <x v="0"/>
    <d v="2025-03-18T00:00:00"/>
    <d v="2025-03-18T00:00:00"/>
    <b v="0"/>
    <m/>
    <b v="0"/>
    <m/>
    <b v="0"/>
    <m/>
    <b v="0"/>
    <m/>
    <n v="83"/>
    <n v="83"/>
    <n v="76"/>
    <b v="0"/>
    <m/>
    <x v="0"/>
    <m/>
    <x v="2"/>
    <x v="1"/>
    <n v="0"/>
    <s v="Demonstrou interesse claro na oportunidade."/>
  </r>
  <r>
    <n v="264"/>
    <s v="Sophia da Luz"/>
    <s v="afogaca@yahoo.com.br"/>
    <s v="REQ-1015"/>
    <x v="0"/>
    <s v="Tech"/>
    <s v="Belo Horizonte"/>
    <s v="Híbrido"/>
    <x v="3"/>
    <x v="19"/>
    <s v="Ana Laura"/>
    <x v="0"/>
    <x v="3"/>
    <x v="2"/>
    <d v="2025-04-22T00:00:00"/>
    <d v="2025-04-24T00:00:00"/>
    <b v="1"/>
    <n v="7"/>
    <b v="1"/>
    <d v="2025-05-04T00:00:00"/>
    <b v="1"/>
    <d v="2025-05-09T00:00:00"/>
    <b v="1"/>
    <d v="2025-05-18T00:00:00"/>
    <n v="70"/>
    <n v="73"/>
    <n v="59"/>
    <b v="0"/>
    <m/>
    <x v="0"/>
    <m/>
    <x v="0"/>
    <x v="1"/>
    <n v="26"/>
    <s v="Baixa responsividade nas etapas iniciais."/>
  </r>
  <r>
    <n v="265"/>
    <s v="Larissa Cardoso"/>
    <s v="rafaela51@hotmail.com"/>
    <s v="REQ-1079"/>
    <x v="1"/>
    <s v="People"/>
    <s v="São Paulo"/>
    <s v="Presencial"/>
    <x v="2"/>
    <x v="17"/>
    <s v="Rodrigo"/>
    <x v="0"/>
    <x v="1"/>
    <x v="3"/>
    <d v="2025-01-14T00:00:00"/>
    <d v="2025-01-17T00:00:00"/>
    <b v="1"/>
    <n v="10"/>
    <b v="0"/>
    <m/>
    <b v="0"/>
    <m/>
    <b v="0"/>
    <m/>
    <n v="86"/>
    <n v="65"/>
    <n v="70"/>
    <b v="0"/>
    <m/>
    <x v="0"/>
    <m/>
    <x v="1"/>
    <x v="5"/>
    <n v="3"/>
    <s v="Pontos fortes em execução e autonomia."/>
  </r>
  <r>
    <n v="266"/>
    <s v="Pedro Rezende"/>
    <s v="das-nevesguilherme@da.com"/>
    <s v="REQ-1005"/>
    <x v="0"/>
    <s v="Tech"/>
    <s v="Campinas"/>
    <s v="Presencial"/>
    <x v="0"/>
    <x v="76"/>
    <s v="Brenda"/>
    <x v="3"/>
    <x v="6"/>
    <x v="1"/>
    <d v="2025-05-27T00:00:00"/>
    <d v="2025-05-27T00:00:00"/>
    <b v="1"/>
    <n v="3"/>
    <b v="1"/>
    <d v="2025-06-02T00:00:00"/>
    <b v="1"/>
    <d v="2025-06-12T00:00:00"/>
    <b v="1"/>
    <d v="2025-06-15T00:00:00"/>
    <n v="79"/>
    <n v="99"/>
    <n v="88"/>
    <b v="1"/>
    <d v="2025-06-21T00:00:00"/>
    <x v="1"/>
    <d v="2025-06-29T00:00:00"/>
    <x v="4"/>
    <x v="0"/>
    <n v="33"/>
    <s v="Demonstrou interesse claro na oportunidade."/>
  </r>
  <r>
    <n v="267"/>
    <s v="Leandro Lima"/>
    <s v="da-luzbenjamin@nunes.br"/>
    <s v="REQ-1086"/>
    <x v="3"/>
    <s v="Data"/>
    <s v="Rio de Janeiro"/>
    <s v="Híbrido"/>
    <x v="1"/>
    <x v="26"/>
    <s v="Manuela"/>
    <x v="2"/>
    <x v="1"/>
    <x v="3"/>
    <d v="2025-02-17T00:00:00"/>
    <d v="2025-02-19T00:00:00"/>
    <b v="0"/>
    <m/>
    <b v="0"/>
    <m/>
    <b v="0"/>
    <m/>
    <b v="0"/>
    <m/>
    <n v="72"/>
    <n v="73"/>
    <n v="73"/>
    <b v="0"/>
    <m/>
    <x v="0"/>
    <m/>
    <x v="2"/>
    <x v="1"/>
    <n v="2"/>
    <s v="Apresentou aderência forte ao contexto da vaga."/>
  </r>
  <r>
    <n v="268"/>
    <s v="Bruna Martins"/>
    <s v="nfreitas@ig.com.br"/>
    <s v="REQ-1094"/>
    <x v="2"/>
    <s v="People"/>
    <s v="São Paulo"/>
    <s v="Presencial"/>
    <x v="1"/>
    <x v="53"/>
    <s v="Yuri"/>
    <x v="3"/>
    <x v="6"/>
    <x v="1"/>
    <d v="2025-01-10T00:00:00"/>
    <d v="2025-01-13T00:00:00"/>
    <b v="1"/>
    <n v="8"/>
    <b v="1"/>
    <d v="2025-01-21T00:00:00"/>
    <b v="1"/>
    <d v="2025-01-31T00:00:00"/>
    <b v="1"/>
    <d v="2025-02-09T00:00:00"/>
    <n v="59"/>
    <n v="83"/>
    <n v="79"/>
    <b v="0"/>
    <m/>
    <x v="0"/>
    <m/>
    <x v="0"/>
    <x v="8"/>
    <n v="30"/>
    <s v="Feedback positivo do gestor."/>
  </r>
  <r>
    <n v="269"/>
    <s v="Sr. Daniel Monteiro"/>
    <s v="piresnicolas@gmail.com"/>
    <s v="REQ-1058"/>
    <x v="3"/>
    <s v="Tech"/>
    <s v="Belo Horizonte"/>
    <s v="Híbrido"/>
    <x v="2"/>
    <x v="17"/>
    <s v="Davi Luiz"/>
    <x v="4"/>
    <x v="0"/>
    <x v="1"/>
    <d v="2025-05-10T00:00:00"/>
    <d v="2025-05-16T00:00:00"/>
    <b v="0"/>
    <m/>
    <b v="0"/>
    <m/>
    <b v="0"/>
    <m/>
    <b v="0"/>
    <m/>
    <n v="74"/>
    <n v="80"/>
    <n v="77"/>
    <b v="0"/>
    <m/>
    <x v="0"/>
    <m/>
    <x v="2"/>
    <x v="1"/>
    <n v="6"/>
    <s v="Pontos fortes em execução e autonomia."/>
  </r>
  <r>
    <n v="270"/>
    <s v="João Guilherme Cardoso"/>
    <s v="vda-mota@novaes.net"/>
    <s v="REQ-1098"/>
    <x v="0"/>
    <s v="People"/>
    <s v="Remote"/>
    <s v="Híbrido"/>
    <x v="0"/>
    <x v="24"/>
    <s v="Elisa"/>
    <x v="3"/>
    <x v="5"/>
    <x v="3"/>
    <d v="2025-03-29T00:00:00"/>
    <d v="2025-04-06T00:00:00"/>
    <b v="1"/>
    <n v="12"/>
    <b v="1"/>
    <d v="2025-04-15T00:00:00"/>
    <b v="1"/>
    <d v="2025-04-29T00:00:00"/>
    <b v="1"/>
    <d v="2025-05-06T00:00:00"/>
    <n v="80"/>
    <n v="56"/>
    <n v="75"/>
    <b v="0"/>
    <m/>
    <x v="0"/>
    <m/>
    <x v="0"/>
    <x v="6"/>
    <n v="38"/>
    <s v="Perfil técnico acima da média."/>
  </r>
  <r>
    <n v="271"/>
    <s v="Evelyn da Costa"/>
    <s v="azevedolucas-gabriel@uol.com.br"/>
    <s v="REQ-1069"/>
    <x v="2"/>
    <s v="Tech"/>
    <s v="Campinas"/>
    <s v="Remoto"/>
    <x v="0"/>
    <x v="65"/>
    <s v="Ana Clara"/>
    <x v="1"/>
    <x v="7"/>
    <x v="2"/>
    <d v="2025-04-23T00:00:00"/>
    <d v="2025-04-28T00:00:00"/>
    <b v="1"/>
    <n v="10"/>
    <b v="1"/>
    <d v="2025-05-01T00:00:00"/>
    <b v="1"/>
    <d v="2025-05-12T00:00:00"/>
    <b v="1"/>
    <d v="2025-05-20T00:00:00"/>
    <n v="60"/>
    <n v="60"/>
    <n v="55"/>
    <b v="0"/>
    <m/>
    <x v="0"/>
    <m/>
    <x v="0"/>
    <x v="5"/>
    <n v="27"/>
    <s v="Perfil técnico acima da média."/>
  </r>
  <r>
    <n v="272"/>
    <s v="Joana Costela"/>
    <s v="xviana@da.com"/>
    <s v="REQ-1088"/>
    <x v="1"/>
    <s v="People"/>
    <s v="Rio de Janeiro"/>
    <s v="Híbrido"/>
    <x v="1"/>
    <x v="25"/>
    <s v="Ana Beatriz"/>
    <x v="5"/>
    <x v="1"/>
    <x v="0"/>
    <d v="2025-04-27T00:00:00"/>
    <d v="2025-05-01T00:00:00"/>
    <b v="1"/>
    <n v="3"/>
    <b v="0"/>
    <m/>
    <b v="0"/>
    <m/>
    <b v="0"/>
    <m/>
    <n v="74"/>
    <n v="78"/>
    <n v="77"/>
    <b v="0"/>
    <m/>
    <x v="0"/>
    <m/>
    <x v="1"/>
    <x v="0"/>
    <n v="4"/>
    <s v="Feedback positivo do gestor."/>
  </r>
  <r>
    <n v="273"/>
    <s v="Nicolas da Rocha"/>
    <s v="cardosomariane@yahoo.com.br"/>
    <s v="REQ-1050"/>
    <x v="1"/>
    <s v="Operations"/>
    <s v="Remote"/>
    <s v="Híbrido"/>
    <x v="1"/>
    <x v="81"/>
    <s v="Manuela"/>
    <x v="5"/>
    <x v="6"/>
    <x v="0"/>
    <d v="2025-04-19T00:00:00"/>
    <d v="2025-04-19T00:00:00"/>
    <b v="1"/>
    <n v="1"/>
    <b v="1"/>
    <d v="2025-04-20T00:00:00"/>
    <b v="1"/>
    <d v="2025-04-24T00:00:00"/>
    <b v="1"/>
    <d v="2025-05-01T00:00:00"/>
    <n v="67"/>
    <n v="69"/>
    <n v="72"/>
    <b v="0"/>
    <m/>
    <x v="0"/>
    <m/>
    <x v="0"/>
    <x v="0"/>
    <n v="12"/>
    <s v="Experiência sólida, mas expectativa salarial alta."/>
  </r>
  <r>
    <n v="274"/>
    <s v="Eduarda Viana"/>
    <s v="da-conceicaostella@uol.com.br"/>
    <s v="REQ-1054"/>
    <x v="2"/>
    <s v="Tech"/>
    <s v="Belo Horizonte"/>
    <s v="Remoto"/>
    <x v="1"/>
    <x v="35"/>
    <s v="Luiz Miguel"/>
    <x v="5"/>
    <x v="4"/>
    <x v="3"/>
    <d v="2025-05-05T00:00:00"/>
    <d v="2025-05-05T00:00:00"/>
    <b v="1"/>
    <n v="6"/>
    <b v="1"/>
    <d v="2025-05-11T00:00:00"/>
    <b v="1"/>
    <d v="2025-05-21T00:00:00"/>
    <b v="1"/>
    <d v="2025-05-30T00:00:00"/>
    <n v="61"/>
    <n v="84"/>
    <n v="87"/>
    <b v="0"/>
    <m/>
    <x v="0"/>
    <m/>
    <x v="0"/>
    <x v="2"/>
    <n v="25"/>
    <s v="Boa comunicação e resposta rápida."/>
  </r>
  <r>
    <n v="275"/>
    <s v="Bernardo Barbosa"/>
    <s v="stephany99@yahoo.com.br"/>
    <s v="REQ-1010"/>
    <x v="0"/>
    <s v="People"/>
    <s v="Campinas"/>
    <s v="Presencial"/>
    <x v="1"/>
    <x v="46"/>
    <s v="Isis"/>
    <x v="4"/>
    <x v="4"/>
    <x v="1"/>
    <d v="2025-04-04T00:00:00"/>
    <d v="2025-04-10T00:00:00"/>
    <b v="0"/>
    <m/>
    <b v="0"/>
    <m/>
    <b v="0"/>
    <m/>
    <b v="0"/>
    <m/>
    <n v="86"/>
    <n v="72"/>
    <n v="78"/>
    <b v="0"/>
    <m/>
    <x v="0"/>
    <m/>
    <x v="2"/>
    <x v="1"/>
    <n v="6"/>
    <s v="Feedback positivo do gestor."/>
  </r>
  <r>
    <n v="276"/>
    <s v="Luna Souza"/>
    <s v="costaguilherme@hotmail.com"/>
    <s v="REQ-1016"/>
    <x v="2"/>
    <s v="Operations"/>
    <s v="Campinas"/>
    <s v="Híbrido"/>
    <x v="2"/>
    <x v="92"/>
    <s v="Nathan"/>
    <x v="3"/>
    <x v="5"/>
    <x v="1"/>
    <d v="2025-05-31T00:00:00"/>
    <d v="2025-05-31T00:00:00"/>
    <b v="1"/>
    <n v="7"/>
    <b v="1"/>
    <d v="2025-06-03T00:00:00"/>
    <b v="1"/>
    <d v="2025-06-06T00:00:00"/>
    <b v="1"/>
    <d v="2025-06-12T00:00:00"/>
    <n v="53"/>
    <n v="58"/>
    <n v="62"/>
    <b v="0"/>
    <m/>
    <x v="0"/>
    <m/>
    <x v="0"/>
    <x v="0"/>
    <n v="12"/>
    <s v="Demonstrou interesse claro na oportunidade."/>
  </r>
  <r>
    <n v="277"/>
    <s v="Marcela Silveira"/>
    <s v="souzajoao-miguel@uol.com.br"/>
    <s v="REQ-1036"/>
    <x v="0"/>
    <s v="Operations"/>
    <s v="Remote"/>
    <s v="Híbrido"/>
    <x v="0"/>
    <x v="41"/>
    <s v="Ana Julia"/>
    <x v="2"/>
    <x v="3"/>
    <x v="0"/>
    <d v="2025-04-19T00:00:00"/>
    <d v="2025-04-22T00:00:00"/>
    <b v="0"/>
    <m/>
    <b v="0"/>
    <m/>
    <b v="0"/>
    <m/>
    <b v="0"/>
    <m/>
    <n v="72"/>
    <n v="84"/>
    <n v="76"/>
    <b v="0"/>
    <m/>
    <x v="0"/>
    <m/>
    <x v="2"/>
    <x v="1"/>
    <n v="3"/>
    <s v="Perfil técnico acima da média."/>
  </r>
  <r>
    <n v="278"/>
    <s v="Dr. Pedro Miguel Vieira"/>
    <s v="leticiajesus@da.br"/>
    <s v="REQ-1033"/>
    <x v="2"/>
    <s v="Data"/>
    <s v="Belo Horizonte"/>
    <s v="Presencial"/>
    <x v="1"/>
    <x v="61"/>
    <s v="Isabelly"/>
    <x v="2"/>
    <x v="1"/>
    <x v="1"/>
    <d v="2025-01-26T00:00:00"/>
    <d v="2025-01-28T00:00:00"/>
    <b v="0"/>
    <m/>
    <b v="0"/>
    <m/>
    <b v="0"/>
    <m/>
    <b v="0"/>
    <m/>
    <n v="60"/>
    <n v="66"/>
    <n v="60"/>
    <b v="0"/>
    <m/>
    <x v="0"/>
    <m/>
    <x v="2"/>
    <x v="1"/>
    <n v="2"/>
    <s v="Baixa responsividade nas etapas iniciais."/>
  </r>
  <r>
    <n v="279"/>
    <s v="Dr. João Guilherme Cavalcanti"/>
    <s v="amanda03@gmail.com"/>
    <s v="REQ-1085"/>
    <x v="0"/>
    <s v="People"/>
    <s v="Rio de Janeiro"/>
    <s v="Remoto"/>
    <x v="1"/>
    <x v="53"/>
    <s v="Bárbara"/>
    <x v="2"/>
    <x v="4"/>
    <x v="2"/>
    <d v="2025-02-13T00:00:00"/>
    <d v="2025-02-13T00:00:00"/>
    <b v="1"/>
    <n v="7"/>
    <b v="1"/>
    <d v="2025-02-16T00:00:00"/>
    <b v="1"/>
    <d v="2025-03-01T00:00:00"/>
    <b v="1"/>
    <d v="2025-03-08T00:00:00"/>
    <n v="84"/>
    <n v="62"/>
    <n v="76"/>
    <b v="0"/>
    <m/>
    <x v="0"/>
    <m/>
    <x v="0"/>
    <x v="8"/>
    <n v="23"/>
    <s v="Demonstrou interesse claro na oportunidade."/>
  </r>
  <r>
    <n v="280"/>
    <s v="Heloísa Cardoso"/>
    <s v="duartejoao-vitor@uol.com.br"/>
    <s v="REQ-1030"/>
    <x v="1"/>
    <s v="Data"/>
    <s v="Curitiba"/>
    <s v="Presencial"/>
    <x v="0"/>
    <x v="14"/>
    <s v="Stella"/>
    <x v="3"/>
    <x v="0"/>
    <x v="3"/>
    <d v="2025-04-07T00:00:00"/>
    <d v="2025-04-18T00:00:00"/>
    <b v="1"/>
    <n v="6"/>
    <b v="0"/>
    <m/>
    <b v="0"/>
    <m/>
    <b v="0"/>
    <m/>
    <n v="40"/>
    <n v="82"/>
    <n v="74"/>
    <b v="0"/>
    <m/>
    <x v="0"/>
    <m/>
    <x v="1"/>
    <x v="5"/>
    <n v="11"/>
    <s v="Experiência sólida, mas expectativa salarial alta."/>
  </r>
  <r>
    <n v="281"/>
    <s v="Diego Lopes"/>
    <s v="andre48@silva.com"/>
    <s v="REQ-1071"/>
    <x v="2"/>
    <s v="People"/>
    <s v="Rio de Janeiro"/>
    <s v="Híbrido"/>
    <x v="0"/>
    <x v="98"/>
    <s v="Bryan"/>
    <x v="3"/>
    <x v="4"/>
    <x v="3"/>
    <d v="2025-05-25T00:00:00"/>
    <d v="2025-05-25T00:00:00"/>
    <b v="1"/>
    <n v="5"/>
    <b v="1"/>
    <d v="2025-05-29T00:00:00"/>
    <b v="1"/>
    <d v="2025-06-02T00:00:00"/>
    <b v="1"/>
    <d v="2025-06-04T00:00:00"/>
    <n v="88"/>
    <n v="63"/>
    <n v="75"/>
    <b v="0"/>
    <m/>
    <x v="0"/>
    <m/>
    <x v="0"/>
    <x v="5"/>
    <n v="10"/>
    <s v="Pontos fortes em execução e autonomia."/>
  </r>
  <r>
    <n v="282"/>
    <s v="Ana Carolina Caldeira"/>
    <s v="esthercorreia@uol.com.br"/>
    <s v="REQ-1064"/>
    <x v="0"/>
    <s v="Data"/>
    <s v="São Paulo"/>
    <s v="Remoto"/>
    <x v="2"/>
    <x v="29"/>
    <s v="Maria Alice"/>
    <x v="5"/>
    <x v="7"/>
    <x v="3"/>
    <d v="2025-01-03T00:00:00"/>
    <d v="2025-01-04T00:00:00"/>
    <b v="1"/>
    <n v="9"/>
    <b v="1"/>
    <d v="2025-01-07T00:00:00"/>
    <b v="1"/>
    <d v="2025-01-21T00:00:00"/>
    <b v="1"/>
    <d v="2025-01-22T00:00:00"/>
    <n v="79"/>
    <n v="88"/>
    <n v="70"/>
    <b v="1"/>
    <d v="2025-01-28T00:00:00"/>
    <x v="1"/>
    <d v="2025-02-05T00:00:00"/>
    <x v="4"/>
    <x v="0"/>
    <n v="33"/>
    <s v="Pontos fortes em execução e autonomia."/>
  </r>
  <r>
    <n v="283"/>
    <s v="Benício Jesus"/>
    <s v="beniciojesus@gmail.com"/>
    <s v="REQ-1061"/>
    <x v="1"/>
    <s v="People"/>
    <s v="Campinas"/>
    <s v="Híbrido"/>
    <x v="1"/>
    <x v="64"/>
    <s v="Marcos Vinicius"/>
    <x v="5"/>
    <x v="5"/>
    <x v="0"/>
    <d v="2025-04-10T00:00:00"/>
    <d v="2025-04-15T00:00:00"/>
    <b v="1"/>
    <n v="6"/>
    <b v="1"/>
    <d v="2025-04-25T00:00:00"/>
    <b v="1"/>
    <d v="2025-05-01T00:00:00"/>
    <b v="1"/>
    <d v="2025-05-09T00:00:00"/>
    <n v="81"/>
    <n v="66"/>
    <n v="77"/>
    <b v="0"/>
    <m/>
    <x v="0"/>
    <m/>
    <x v="0"/>
    <x v="9"/>
    <n v="29"/>
    <s v="Apresentou aderência forte ao contexto da vaga."/>
  </r>
  <r>
    <n v="284"/>
    <s v="Raquel Peixoto"/>
    <s v="fariasisabelly@gmail.com"/>
    <s v="REQ-1019"/>
    <x v="1"/>
    <s v="Data"/>
    <s v="Campinas"/>
    <s v="Remoto"/>
    <x v="2"/>
    <x v="17"/>
    <s v="Theo"/>
    <x v="0"/>
    <x v="1"/>
    <x v="2"/>
    <d v="2025-03-18T00:00:00"/>
    <d v="2025-03-19T00:00:00"/>
    <b v="0"/>
    <m/>
    <b v="0"/>
    <m/>
    <b v="0"/>
    <m/>
    <b v="0"/>
    <m/>
    <n v="68"/>
    <n v="68"/>
    <n v="63"/>
    <b v="0"/>
    <m/>
    <x v="0"/>
    <m/>
    <x v="2"/>
    <x v="1"/>
    <n v="1"/>
    <s v="Perfil técnico acima da média."/>
  </r>
  <r>
    <n v="285"/>
    <s v="Srta. Ana Júlia Almeida"/>
    <s v="enzosilva@mendes.br"/>
    <s v="REQ-1074"/>
    <x v="2"/>
    <s v="People"/>
    <s v="Campinas"/>
    <s v="Híbrido"/>
    <x v="2"/>
    <x v="101"/>
    <s v="Eduarda"/>
    <x v="5"/>
    <x v="1"/>
    <x v="1"/>
    <d v="2025-02-06T00:00:00"/>
    <d v="2025-02-12T00:00:00"/>
    <b v="1"/>
    <n v="1"/>
    <b v="0"/>
    <m/>
    <b v="0"/>
    <m/>
    <b v="0"/>
    <m/>
    <n v="51"/>
    <n v="81"/>
    <n v="68"/>
    <b v="0"/>
    <m/>
    <x v="0"/>
    <m/>
    <x v="1"/>
    <x v="0"/>
    <n v="6"/>
    <s v="Perfil técnico acima da média."/>
  </r>
  <r>
    <n v="286"/>
    <s v="Pedro Henrique Nunes"/>
    <s v="enzo-gabriel28@souza.br"/>
    <s v="REQ-1033"/>
    <x v="2"/>
    <s v="Operations"/>
    <s v="Belo Horizonte"/>
    <s v="Presencial"/>
    <x v="1"/>
    <x v="13"/>
    <s v="Milena"/>
    <x v="0"/>
    <x v="1"/>
    <x v="0"/>
    <d v="2025-04-07T00:00:00"/>
    <d v="2025-04-07T00:00:00"/>
    <b v="0"/>
    <m/>
    <b v="0"/>
    <m/>
    <b v="0"/>
    <m/>
    <b v="0"/>
    <m/>
    <n v="77"/>
    <n v="93"/>
    <n v="91"/>
    <b v="0"/>
    <m/>
    <x v="0"/>
    <m/>
    <x v="2"/>
    <x v="1"/>
    <n v="0"/>
    <s v="Experiência sólida, mas expectativa salarial alta."/>
  </r>
  <r>
    <n v="287"/>
    <s v="Heitor da Rosa"/>
    <s v="goncalvesluiz-fernando@costa.org"/>
    <s v="REQ-1040"/>
    <x v="3"/>
    <s v="Data"/>
    <s v="Campinas"/>
    <s v="Presencial"/>
    <x v="0"/>
    <x v="96"/>
    <s v="Juan"/>
    <x v="5"/>
    <x v="1"/>
    <x v="3"/>
    <d v="2025-04-22T00:00:00"/>
    <d v="2025-04-25T00:00:00"/>
    <b v="1"/>
    <n v="9"/>
    <b v="1"/>
    <d v="2025-05-03T00:00:00"/>
    <b v="1"/>
    <d v="2025-05-13T00:00:00"/>
    <b v="1"/>
    <d v="2025-05-18T00:00:00"/>
    <n v="67"/>
    <n v="85"/>
    <n v="85"/>
    <b v="0"/>
    <m/>
    <x v="0"/>
    <m/>
    <x v="0"/>
    <x v="0"/>
    <n v="26"/>
    <s v="Boa comunicação e resposta rápida."/>
  </r>
  <r>
    <n v="288"/>
    <s v="Sr. Benício Rodrigues"/>
    <s v="hribeiro@ig.com.br"/>
    <s v="REQ-1047"/>
    <x v="0"/>
    <s v="People"/>
    <s v="São Paulo"/>
    <s v="Presencial"/>
    <x v="1"/>
    <x v="53"/>
    <s v="João Vitor"/>
    <x v="1"/>
    <x v="5"/>
    <x v="3"/>
    <d v="2025-01-22T00:00:00"/>
    <d v="2025-01-28T00:00:00"/>
    <b v="1"/>
    <n v="0"/>
    <b v="1"/>
    <d v="2025-02-07T00:00:00"/>
    <b v="1"/>
    <d v="2025-02-14T00:00:00"/>
    <b v="1"/>
    <d v="2025-02-22T00:00:00"/>
    <n v="64"/>
    <n v="78"/>
    <n v="72"/>
    <b v="0"/>
    <m/>
    <x v="0"/>
    <m/>
    <x v="0"/>
    <x v="8"/>
    <n v="31"/>
    <s v="Apresentou aderência forte ao contexto da vaga."/>
  </r>
  <r>
    <n v="289"/>
    <s v="Leonardo Sales"/>
    <s v="grodrigues@bol.com.br"/>
    <s v="REQ-1096"/>
    <x v="1"/>
    <s v="Operations"/>
    <s v="Curitiba"/>
    <s v="Remoto"/>
    <x v="0"/>
    <x v="96"/>
    <s v="Vitor"/>
    <x v="0"/>
    <x v="5"/>
    <x v="2"/>
    <d v="2025-05-26T00:00:00"/>
    <d v="2025-05-29T00:00:00"/>
    <b v="1"/>
    <n v="6"/>
    <b v="1"/>
    <d v="2025-05-31T00:00:00"/>
    <b v="1"/>
    <d v="2025-06-05T00:00:00"/>
    <b v="1"/>
    <d v="2025-06-11T00:00:00"/>
    <n v="62"/>
    <n v="91"/>
    <n v="88"/>
    <b v="0"/>
    <m/>
    <x v="0"/>
    <m/>
    <x v="0"/>
    <x v="3"/>
    <n v="16"/>
    <s v="Apresentou aderência forte ao contexto da vaga."/>
  </r>
  <r>
    <n v="290"/>
    <s v="Ana Teixeira"/>
    <s v="ralmeida@bol.com.br"/>
    <s v="REQ-1085"/>
    <x v="3"/>
    <s v="People"/>
    <s v="Belo Horizonte"/>
    <s v="Presencial"/>
    <x v="2"/>
    <x v="17"/>
    <s v="Maria Vitória"/>
    <x v="3"/>
    <x v="6"/>
    <x v="3"/>
    <d v="2025-04-20T00:00:00"/>
    <d v="2025-04-20T00:00:00"/>
    <b v="1"/>
    <n v="6"/>
    <b v="1"/>
    <d v="2025-04-21T00:00:00"/>
    <b v="0"/>
    <m/>
    <b v="0"/>
    <m/>
    <n v="67"/>
    <n v="66"/>
    <n v="69"/>
    <b v="0"/>
    <m/>
    <x v="0"/>
    <m/>
    <x v="5"/>
    <x v="0"/>
    <n v="1"/>
    <s v="Pontos fortes em execução e autonomia."/>
  </r>
  <r>
    <n v="291"/>
    <s v="Elisa das Neves"/>
    <s v="peixotoalice@bol.com.br"/>
    <s v="REQ-1063"/>
    <x v="2"/>
    <s v="Data"/>
    <s v="Curitiba"/>
    <s v="Remoto"/>
    <x v="3"/>
    <x v="45"/>
    <s v="Pedro Miguel"/>
    <x v="2"/>
    <x v="5"/>
    <x v="0"/>
    <d v="2025-01-18T00:00:00"/>
    <d v="2025-01-21T00:00:00"/>
    <b v="1"/>
    <n v="8"/>
    <b v="1"/>
    <d v="2025-01-29T00:00:00"/>
    <b v="1"/>
    <d v="2025-02-07T00:00:00"/>
    <b v="0"/>
    <m/>
    <n v="72"/>
    <n v="66"/>
    <n v="63"/>
    <b v="0"/>
    <m/>
    <x v="0"/>
    <m/>
    <x v="3"/>
    <x v="0"/>
    <n v="20"/>
    <s v="Boa comunicação e resposta rápida."/>
  </r>
  <r>
    <n v="292"/>
    <s v="Caroline da Cruz"/>
    <s v="da-pazthomas@ig.com.br"/>
    <s v="REQ-1003"/>
    <x v="2"/>
    <s v="Operations"/>
    <s v="São Paulo"/>
    <s v="Remoto"/>
    <x v="0"/>
    <x v="102"/>
    <s v="Luiz Otávio"/>
    <x v="5"/>
    <x v="7"/>
    <x v="1"/>
    <d v="2025-03-21T00:00:00"/>
    <d v="2025-03-23T00:00:00"/>
    <b v="1"/>
    <n v="4"/>
    <b v="1"/>
    <d v="2025-03-26T00:00:00"/>
    <b v="1"/>
    <d v="2025-03-30T00:00:00"/>
    <b v="1"/>
    <d v="2025-04-08T00:00:00"/>
    <n v="82"/>
    <n v="68"/>
    <n v="57"/>
    <b v="0"/>
    <m/>
    <x v="0"/>
    <m/>
    <x v="0"/>
    <x v="0"/>
    <n v="18"/>
    <s v="Baixa responsividade nas etapas iniciais."/>
  </r>
  <r>
    <n v="293"/>
    <s v="Dr. Benício Cavalcanti"/>
    <s v="luana80@gmail.com"/>
    <s v="REQ-1094"/>
    <x v="3"/>
    <s v="People"/>
    <s v="Campinas"/>
    <s v="Remoto"/>
    <x v="1"/>
    <x v="101"/>
    <s v="Diogo"/>
    <x v="1"/>
    <x v="5"/>
    <x v="0"/>
    <d v="2025-01-04T00:00:00"/>
    <d v="2025-01-10T00:00:00"/>
    <b v="0"/>
    <m/>
    <b v="0"/>
    <m/>
    <b v="0"/>
    <m/>
    <b v="0"/>
    <m/>
    <n v="58"/>
    <n v="90"/>
    <n v="89"/>
    <b v="0"/>
    <m/>
    <x v="0"/>
    <m/>
    <x v="2"/>
    <x v="1"/>
    <n v="6"/>
    <s v="Apresentou aderência forte ao contexto da vaga."/>
  </r>
  <r>
    <n v="294"/>
    <s v="Ryan Correia"/>
    <s v="da-rosaisabella@da.net"/>
    <s v="REQ-1029"/>
    <x v="2"/>
    <s v="Tech"/>
    <s v="Curitiba"/>
    <s v="Híbrido"/>
    <x v="2"/>
    <x v="4"/>
    <s v="Raul"/>
    <x v="5"/>
    <x v="2"/>
    <x v="0"/>
    <d v="2025-02-18T00:00:00"/>
    <d v="2025-02-20T00:00:00"/>
    <b v="1"/>
    <n v="12"/>
    <b v="1"/>
    <d v="2025-02-28T00:00:00"/>
    <b v="1"/>
    <d v="2025-03-08T00:00:00"/>
    <b v="1"/>
    <d v="2025-03-11T00:00:00"/>
    <n v="56"/>
    <n v="68"/>
    <n v="57"/>
    <b v="0"/>
    <m/>
    <x v="0"/>
    <m/>
    <x v="0"/>
    <x v="0"/>
    <n v="21"/>
    <s v="Apresentou aderência forte ao contexto da vaga."/>
  </r>
  <r>
    <n v="295"/>
    <s v="Calebe da Conceição"/>
    <s v="aragaonoah@hotmail.com"/>
    <s v="REQ-1025"/>
    <x v="0"/>
    <s v="Data"/>
    <s v="Rio de Janeiro"/>
    <s v="Remoto"/>
    <x v="0"/>
    <x v="47"/>
    <s v="Ana Júlia"/>
    <x v="0"/>
    <x v="0"/>
    <x v="0"/>
    <d v="2025-02-01T00:00:00"/>
    <d v="2025-02-01T00:00:00"/>
    <b v="1"/>
    <n v="6"/>
    <b v="1"/>
    <d v="2025-02-10T00:00:00"/>
    <b v="1"/>
    <d v="2025-02-12T00:00:00"/>
    <b v="1"/>
    <d v="2025-02-13T00:00:00"/>
    <n v="70"/>
    <n v="73"/>
    <n v="70"/>
    <b v="0"/>
    <m/>
    <x v="0"/>
    <m/>
    <x v="0"/>
    <x v="2"/>
    <n v="12"/>
    <s v="Feedback positivo do gestor."/>
  </r>
  <r>
    <n v="296"/>
    <s v="Kaique Caldeira"/>
    <s v="carolinafarias@bol.com.br"/>
    <s v="REQ-1001"/>
    <x v="3"/>
    <s v="Tech"/>
    <s v="Campinas"/>
    <s v="Remoto"/>
    <x v="1"/>
    <x v="52"/>
    <s v="Calebe"/>
    <x v="4"/>
    <x v="2"/>
    <x v="1"/>
    <d v="2025-04-23T00:00:00"/>
    <d v="2025-04-23T00:00:00"/>
    <b v="1"/>
    <n v="6"/>
    <b v="0"/>
    <m/>
    <b v="0"/>
    <m/>
    <b v="0"/>
    <m/>
    <n v="75"/>
    <n v="80"/>
    <n v="78"/>
    <b v="0"/>
    <m/>
    <x v="0"/>
    <m/>
    <x v="1"/>
    <x v="0"/>
    <n v="0"/>
    <s v="Experiência sólida, mas expectativa salarial alta."/>
  </r>
  <r>
    <n v="297"/>
    <s v="Dra. Laís Jesus"/>
    <s v="maria-vitorianascimento@mendes.com"/>
    <s v="REQ-1035"/>
    <x v="3"/>
    <s v="People"/>
    <s v="Rio de Janeiro"/>
    <s v="Remoto"/>
    <x v="1"/>
    <x v="93"/>
    <s v="Olivia"/>
    <x v="0"/>
    <x v="5"/>
    <x v="0"/>
    <d v="2025-04-13T00:00:00"/>
    <d v="2025-04-21T00:00:00"/>
    <b v="1"/>
    <n v="12"/>
    <b v="1"/>
    <d v="2025-04-28T00:00:00"/>
    <b v="0"/>
    <m/>
    <b v="0"/>
    <m/>
    <n v="76"/>
    <n v="78"/>
    <n v="89"/>
    <b v="0"/>
    <m/>
    <x v="0"/>
    <m/>
    <x v="5"/>
    <x v="3"/>
    <n v="15"/>
    <s v="Demonstrou interesse claro na oportunidade."/>
  </r>
  <r>
    <n v="298"/>
    <s v="Dr. Thiago Sales"/>
    <s v="joao45@ig.com.br"/>
    <s v="REQ-1001"/>
    <x v="1"/>
    <s v="Data"/>
    <s v="São Paulo"/>
    <s v="Remoto"/>
    <x v="0"/>
    <x v="5"/>
    <s v="Manuela"/>
    <x v="1"/>
    <x v="2"/>
    <x v="3"/>
    <d v="2025-05-27T00:00:00"/>
    <d v="2025-05-27T00:00:00"/>
    <b v="1"/>
    <n v="6"/>
    <b v="1"/>
    <d v="2025-06-05T00:00:00"/>
    <b v="1"/>
    <d v="2025-06-11T00:00:00"/>
    <b v="1"/>
    <d v="2025-06-13T00:00:00"/>
    <n v="78"/>
    <n v="86"/>
    <n v="97"/>
    <b v="0"/>
    <m/>
    <x v="0"/>
    <m/>
    <x v="0"/>
    <x v="8"/>
    <n v="17"/>
    <s v="Pediu prazo adicional para retorno."/>
  </r>
  <r>
    <n v="299"/>
    <s v="Sr. Erick Ramos"/>
    <s v="peixotoelisa@monteiro.br"/>
    <s v="REQ-1081"/>
    <x v="0"/>
    <s v="Data"/>
    <s v="Belo Horizonte"/>
    <s v="Remoto"/>
    <x v="0"/>
    <x v="68"/>
    <s v="Kamilly"/>
    <x v="3"/>
    <x v="4"/>
    <x v="0"/>
    <d v="2025-01-04T00:00:00"/>
    <d v="2025-01-04T00:00:00"/>
    <b v="1"/>
    <n v="9"/>
    <b v="1"/>
    <d v="2025-01-07T00:00:00"/>
    <b v="1"/>
    <d v="2025-01-19T00:00:00"/>
    <b v="0"/>
    <m/>
    <n v="65"/>
    <n v="68"/>
    <n v="65"/>
    <b v="0"/>
    <m/>
    <x v="0"/>
    <m/>
    <x v="3"/>
    <x v="0"/>
    <n v="15"/>
    <s v="Baixa responsividade nas etapas iniciais."/>
  </r>
  <r>
    <n v="300"/>
    <s v="Calebe Pires"/>
    <s v="fariasyago@ig.com.br"/>
    <s v="REQ-1081"/>
    <x v="3"/>
    <s v="Tech"/>
    <s v="Remote"/>
    <s v="Presencial"/>
    <x v="1"/>
    <x v="4"/>
    <s v="Yago"/>
    <x v="4"/>
    <x v="1"/>
    <x v="0"/>
    <d v="2025-03-08T00:00:00"/>
    <d v="2025-03-08T00:00:00"/>
    <b v="0"/>
    <m/>
    <b v="0"/>
    <m/>
    <b v="0"/>
    <m/>
    <b v="0"/>
    <m/>
    <n v="68"/>
    <n v="44"/>
    <n v="55"/>
    <b v="0"/>
    <m/>
    <x v="0"/>
    <m/>
    <x v="2"/>
    <x v="1"/>
    <n v="0"/>
    <s v="Boa comunicação e resposta rápida."/>
  </r>
  <r>
    <n v="301"/>
    <s v="Rafael da Costa"/>
    <s v="fbarbosa@hotmail.com"/>
    <s v="REQ-1048"/>
    <x v="0"/>
    <s v="Operations"/>
    <s v="Remote"/>
    <s v="Híbrido"/>
    <x v="1"/>
    <x v="49"/>
    <s v="Alexandre"/>
    <x v="1"/>
    <x v="3"/>
    <x v="2"/>
    <d v="2025-05-11T00:00:00"/>
    <d v="2025-05-11T00:00:00"/>
    <b v="1"/>
    <n v="11"/>
    <b v="1"/>
    <d v="2025-05-19T00:00:00"/>
    <b v="1"/>
    <d v="2025-06-01T00:00:00"/>
    <b v="1"/>
    <d v="2025-06-06T00:00:00"/>
    <n v="77"/>
    <n v="69"/>
    <n v="80"/>
    <b v="0"/>
    <m/>
    <x v="0"/>
    <m/>
    <x v="0"/>
    <x v="8"/>
    <n v="26"/>
    <s v="Bom potencial de evolução."/>
  </r>
  <r>
    <n v="302"/>
    <s v="Dr. Luiz Felipe Gomes"/>
    <s v="alvesmirella@uol.com.br"/>
    <s v="REQ-1044"/>
    <x v="0"/>
    <s v="Operations"/>
    <s v="São Paulo"/>
    <s v="Presencial"/>
    <x v="1"/>
    <x v="8"/>
    <s v="Ana Júlia"/>
    <x v="1"/>
    <x v="5"/>
    <x v="3"/>
    <d v="2025-04-29T00:00:00"/>
    <d v="2025-05-05T00:00:00"/>
    <b v="0"/>
    <m/>
    <b v="0"/>
    <m/>
    <b v="0"/>
    <m/>
    <b v="0"/>
    <m/>
    <n v="49"/>
    <n v="74"/>
    <n v="78"/>
    <b v="0"/>
    <m/>
    <x v="0"/>
    <m/>
    <x v="2"/>
    <x v="1"/>
    <n v="6"/>
    <s v="Baixa responsividade nas etapas iniciais."/>
  </r>
  <r>
    <n v="303"/>
    <s v="Mariana Fernandes"/>
    <s v="correiamarcos-vinicius@rodrigues.br"/>
    <s v="REQ-1075"/>
    <x v="2"/>
    <s v="People"/>
    <s v="Curitiba"/>
    <s v="Presencial"/>
    <x v="3"/>
    <x v="103"/>
    <s v="Gustavo Henrique"/>
    <x v="0"/>
    <x v="1"/>
    <x v="1"/>
    <d v="2025-05-13T00:00:00"/>
    <d v="2025-05-15T00:00:00"/>
    <b v="1"/>
    <n v="9"/>
    <b v="1"/>
    <d v="2025-05-17T00:00:00"/>
    <b v="0"/>
    <m/>
    <b v="0"/>
    <m/>
    <n v="60"/>
    <n v="100"/>
    <n v="88"/>
    <b v="0"/>
    <m/>
    <x v="0"/>
    <m/>
    <x v="5"/>
    <x v="2"/>
    <n v="4"/>
    <s v="Boa comunicação e resposta rápida."/>
  </r>
  <r>
    <n v="304"/>
    <s v="Isabelly Costa"/>
    <s v="eduarda18@silva.com"/>
    <s v="REQ-1078"/>
    <x v="1"/>
    <s v="Data"/>
    <s v="Campinas"/>
    <s v="Híbrido"/>
    <x v="1"/>
    <x v="39"/>
    <s v="Thomas"/>
    <x v="4"/>
    <x v="2"/>
    <x v="3"/>
    <d v="2025-01-18T00:00:00"/>
    <d v="2025-01-26T00:00:00"/>
    <b v="1"/>
    <n v="10"/>
    <b v="0"/>
    <m/>
    <b v="0"/>
    <m/>
    <b v="0"/>
    <m/>
    <n v="75"/>
    <n v="82"/>
    <n v="76"/>
    <b v="0"/>
    <m/>
    <x v="0"/>
    <m/>
    <x v="1"/>
    <x v="4"/>
    <n v="8"/>
    <s v="Baixa responsividade nas etapas iniciais."/>
  </r>
  <r>
    <n v="305"/>
    <s v="Ana Clara Duarte"/>
    <s v="freitasisabella@moura.br"/>
    <s v="REQ-1074"/>
    <x v="0"/>
    <s v="Tech"/>
    <s v="Remote"/>
    <s v="Presencial"/>
    <x v="0"/>
    <x v="10"/>
    <s v="Lucas"/>
    <x v="2"/>
    <x v="4"/>
    <x v="0"/>
    <d v="2025-02-06T00:00:00"/>
    <d v="2025-02-08T00:00:00"/>
    <b v="0"/>
    <m/>
    <b v="0"/>
    <m/>
    <b v="0"/>
    <m/>
    <b v="0"/>
    <m/>
    <n v="67"/>
    <n v="67"/>
    <n v="68"/>
    <b v="0"/>
    <m/>
    <x v="0"/>
    <m/>
    <x v="2"/>
    <x v="1"/>
    <n v="2"/>
    <s v="Pontos fortes em execução e autonomia."/>
  </r>
  <r>
    <n v="306"/>
    <s v="Fernanda Fogaça"/>
    <s v="maraujo@bol.com.br"/>
    <s v="REQ-1081"/>
    <x v="2"/>
    <s v="Data"/>
    <s v="Curitiba"/>
    <s v="Híbrido"/>
    <x v="3"/>
    <x v="45"/>
    <s v="Murilo"/>
    <x v="1"/>
    <x v="1"/>
    <x v="0"/>
    <d v="2025-05-04T00:00:00"/>
    <d v="2025-05-04T00:00:00"/>
    <b v="1"/>
    <n v="9"/>
    <b v="1"/>
    <d v="2025-05-13T00:00:00"/>
    <b v="1"/>
    <d v="2025-05-23T00:00:00"/>
    <b v="1"/>
    <d v="2025-05-25T00:00:00"/>
    <n v="89"/>
    <n v="78"/>
    <n v="86"/>
    <b v="0"/>
    <m/>
    <x v="0"/>
    <m/>
    <x v="0"/>
    <x v="0"/>
    <n v="21"/>
    <s v="Pediu prazo adicional para retorno."/>
  </r>
  <r>
    <n v="307"/>
    <s v="Maria Alice Fogaça"/>
    <s v="nda-cunha@bol.com.br"/>
    <s v="REQ-1019"/>
    <x v="2"/>
    <s v="People"/>
    <s v="Campinas"/>
    <s v="Remoto"/>
    <x v="1"/>
    <x v="1"/>
    <s v="Maria Luiza"/>
    <x v="4"/>
    <x v="1"/>
    <x v="2"/>
    <d v="2025-05-24T00:00:00"/>
    <d v="2025-05-27T00:00:00"/>
    <b v="0"/>
    <m/>
    <b v="0"/>
    <m/>
    <b v="0"/>
    <m/>
    <b v="0"/>
    <m/>
    <n v="91"/>
    <n v="69"/>
    <n v="85"/>
    <b v="0"/>
    <m/>
    <x v="0"/>
    <m/>
    <x v="2"/>
    <x v="1"/>
    <n v="3"/>
    <s v="Bom potencial de evolução."/>
  </r>
  <r>
    <n v="308"/>
    <s v="Cecília Viana"/>
    <s v="murilo54@da.org"/>
    <s v="REQ-1065"/>
    <x v="3"/>
    <s v="Operations"/>
    <s v="Curitiba"/>
    <s v="Remoto"/>
    <x v="0"/>
    <x v="72"/>
    <s v="Julia"/>
    <x v="5"/>
    <x v="0"/>
    <x v="1"/>
    <d v="2025-05-23T00:00:00"/>
    <d v="2025-05-26T00:00:00"/>
    <b v="1"/>
    <n v="12"/>
    <b v="0"/>
    <m/>
    <b v="0"/>
    <m/>
    <b v="0"/>
    <m/>
    <n v="76"/>
    <n v="68"/>
    <n v="68"/>
    <b v="0"/>
    <m/>
    <x v="0"/>
    <m/>
    <x v="1"/>
    <x v="9"/>
    <n v="3"/>
    <s v="Experiência sólida, mas expectativa salarial alta."/>
  </r>
  <r>
    <n v="309"/>
    <s v="Dr. Luiz Otávio Melo"/>
    <s v="nferreira@dias.br"/>
    <s v="REQ-1057"/>
    <x v="3"/>
    <s v="People"/>
    <s v="Remote"/>
    <s v="Presencial"/>
    <x v="3"/>
    <x v="24"/>
    <s v="Nathan"/>
    <x v="1"/>
    <x v="4"/>
    <x v="0"/>
    <d v="2025-01-23T00:00:00"/>
    <d v="2025-01-28T00:00:00"/>
    <b v="0"/>
    <m/>
    <b v="0"/>
    <m/>
    <b v="0"/>
    <m/>
    <b v="0"/>
    <m/>
    <n v="82"/>
    <n v="94"/>
    <n v="77"/>
    <b v="0"/>
    <m/>
    <x v="0"/>
    <m/>
    <x v="2"/>
    <x v="1"/>
    <n v="5"/>
    <s v="Perfil técnico acima da média."/>
  </r>
  <r>
    <n v="310"/>
    <s v="Gustavo Henrique Lima"/>
    <s v="augustobarbosa@lima.br"/>
    <s v="REQ-1083"/>
    <x v="2"/>
    <s v="Data"/>
    <s v="Campinas"/>
    <s v="Presencial"/>
    <x v="2"/>
    <x v="93"/>
    <s v="Ian"/>
    <x v="4"/>
    <x v="5"/>
    <x v="0"/>
    <d v="2025-03-23T00:00:00"/>
    <d v="2025-03-25T00:00:00"/>
    <b v="1"/>
    <n v="3"/>
    <b v="0"/>
    <m/>
    <b v="0"/>
    <m/>
    <b v="0"/>
    <m/>
    <n v="64"/>
    <n v="54"/>
    <n v="56"/>
    <b v="0"/>
    <m/>
    <x v="0"/>
    <m/>
    <x v="1"/>
    <x v="0"/>
    <n v="2"/>
    <s v="Demonstrou interesse claro na oportunidade."/>
  </r>
  <r>
    <n v="311"/>
    <s v="Dra. Kamilly da Cruz"/>
    <s v="larissarocha@campos.com"/>
    <s v="REQ-1049"/>
    <x v="2"/>
    <s v="Data"/>
    <s v="Campinas"/>
    <s v="Híbrido"/>
    <x v="3"/>
    <x v="79"/>
    <s v="Clara"/>
    <x v="1"/>
    <x v="7"/>
    <x v="2"/>
    <d v="2025-03-08T00:00:00"/>
    <d v="2025-03-08T00:00:00"/>
    <b v="1"/>
    <n v="3"/>
    <b v="1"/>
    <d v="2025-03-13T00:00:00"/>
    <b v="1"/>
    <d v="2025-03-20T00:00:00"/>
    <b v="1"/>
    <d v="2025-03-21T00:00:00"/>
    <n v="79"/>
    <n v="77"/>
    <n v="87"/>
    <b v="1"/>
    <d v="2025-03-26T00:00:00"/>
    <x v="1"/>
    <d v="2025-04-03T00:00:00"/>
    <x v="4"/>
    <x v="0"/>
    <n v="26"/>
    <s v="Boa comunicação e resposta rápida."/>
  </r>
  <r>
    <n v="312"/>
    <s v="Daniela Cavalcanti"/>
    <s v="vda-rocha@rodrigues.org"/>
    <s v="REQ-1098"/>
    <x v="1"/>
    <s v="Data"/>
    <s v="Remote"/>
    <s v="Remoto"/>
    <x v="1"/>
    <x v="2"/>
    <s v="Kaique"/>
    <x v="4"/>
    <x v="0"/>
    <x v="0"/>
    <d v="2025-04-04T00:00:00"/>
    <d v="2025-04-06T00:00:00"/>
    <b v="0"/>
    <m/>
    <b v="0"/>
    <m/>
    <b v="0"/>
    <m/>
    <b v="0"/>
    <m/>
    <n v="49"/>
    <n v="61"/>
    <n v="64"/>
    <b v="0"/>
    <m/>
    <x v="0"/>
    <m/>
    <x v="2"/>
    <x v="1"/>
    <n v="2"/>
    <s v="Feedback positivo do gestor."/>
  </r>
  <r>
    <n v="313"/>
    <s v="Raul Carvalho"/>
    <s v="maria-luiza25@yahoo.com.br"/>
    <s v="REQ-1076"/>
    <x v="3"/>
    <s v="Data"/>
    <s v="Campinas"/>
    <s v="Híbrido"/>
    <x v="0"/>
    <x v="5"/>
    <s v="Ana Carolina"/>
    <x v="0"/>
    <x v="0"/>
    <x v="1"/>
    <d v="2025-04-11T00:00:00"/>
    <d v="2025-04-19T00:00:00"/>
    <b v="0"/>
    <m/>
    <b v="0"/>
    <m/>
    <b v="0"/>
    <m/>
    <b v="0"/>
    <m/>
    <n v="89"/>
    <n v="73"/>
    <n v="79"/>
    <b v="0"/>
    <m/>
    <x v="0"/>
    <m/>
    <x v="2"/>
    <x v="1"/>
    <n v="8"/>
    <s v="Pontos fortes em execução e autonomia."/>
  </r>
  <r>
    <n v="314"/>
    <s v="Carlos Eduardo Araújo"/>
    <s v="maite21@ribeiro.br"/>
    <s v="REQ-1017"/>
    <x v="1"/>
    <s v="People"/>
    <s v="Belo Horizonte"/>
    <s v="Presencial"/>
    <x v="2"/>
    <x v="17"/>
    <s v="Emanuella"/>
    <x v="5"/>
    <x v="5"/>
    <x v="2"/>
    <d v="2025-03-28T00:00:00"/>
    <d v="2025-03-30T00:00:00"/>
    <b v="0"/>
    <m/>
    <b v="0"/>
    <m/>
    <b v="0"/>
    <m/>
    <b v="0"/>
    <m/>
    <n v="61"/>
    <n v="76"/>
    <n v="72"/>
    <b v="0"/>
    <m/>
    <x v="0"/>
    <m/>
    <x v="2"/>
    <x v="1"/>
    <n v="2"/>
    <s v="Pontos fortes em execução e autonomia."/>
  </r>
  <r>
    <n v="315"/>
    <s v="Samuel da Cunha"/>
    <s v="lucca35@ig.com.br"/>
    <s v="REQ-1049"/>
    <x v="0"/>
    <s v="Operations"/>
    <s v="Remote"/>
    <s v="Presencial"/>
    <x v="0"/>
    <x v="20"/>
    <s v="Catarina"/>
    <x v="1"/>
    <x v="6"/>
    <x v="2"/>
    <d v="2025-03-12T00:00:00"/>
    <d v="2025-03-18T00:00:00"/>
    <b v="1"/>
    <n v="8"/>
    <b v="1"/>
    <d v="2025-03-22T00:00:00"/>
    <b v="0"/>
    <m/>
    <b v="0"/>
    <m/>
    <n v="75"/>
    <n v="60"/>
    <n v="70"/>
    <b v="0"/>
    <m/>
    <x v="0"/>
    <m/>
    <x v="5"/>
    <x v="0"/>
    <n v="10"/>
    <s v="Pontos fortes em execução e autonomia."/>
  </r>
  <r>
    <n v="316"/>
    <s v="Sra. Daniela da Conceição"/>
    <s v="gabriela90@ferreira.com"/>
    <s v="REQ-1071"/>
    <x v="1"/>
    <s v="Data"/>
    <s v="Remote"/>
    <s v="Presencial"/>
    <x v="3"/>
    <x v="104"/>
    <s v="Alice"/>
    <x v="3"/>
    <x v="0"/>
    <x v="0"/>
    <d v="2025-02-10T00:00:00"/>
    <d v="2025-02-12T00:00:00"/>
    <b v="1"/>
    <n v="7"/>
    <b v="0"/>
    <m/>
    <b v="0"/>
    <m/>
    <b v="0"/>
    <m/>
    <n v="97"/>
    <n v="82"/>
    <n v="91"/>
    <b v="0"/>
    <m/>
    <x v="0"/>
    <m/>
    <x v="1"/>
    <x v="0"/>
    <n v="2"/>
    <s v="Baixa responsividade nas etapas iniciais."/>
  </r>
  <r>
    <n v="317"/>
    <s v="Alana da Mota"/>
    <s v="ffreitas@monteiro.br"/>
    <s v="REQ-1059"/>
    <x v="3"/>
    <s v="People"/>
    <s v="Belo Horizonte"/>
    <s v="Presencial"/>
    <x v="1"/>
    <x v="41"/>
    <s v="Vitor Gabriel"/>
    <x v="2"/>
    <x v="7"/>
    <x v="0"/>
    <d v="2025-02-20T00:00:00"/>
    <d v="2025-02-20T00:00:00"/>
    <b v="1"/>
    <n v="9"/>
    <b v="1"/>
    <d v="2025-02-25T00:00:00"/>
    <b v="1"/>
    <d v="2025-03-11T00:00:00"/>
    <b v="0"/>
    <m/>
    <n v="67"/>
    <n v="75"/>
    <n v="76"/>
    <b v="0"/>
    <m/>
    <x v="0"/>
    <m/>
    <x v="3"/>
    <x v="0"/>
    <n v="19"/>
    <s v="Bom potencial de evolução."/>
  </r>
  <r>
    <n v="318"/>
    <s v="Sra. Maria Sophia Barbosa"/>
    <s v="msouza@farias.net"/>
    <s v="REQ-1090"/>
    <x v="3"/>
    <s v="Tech"/>
    <s v="Curitiba"/>
    <s v="Remoto"/>
    <x v="0"/>
    <x v="18"/>
    <s v="Maria Alice"/>
    <x v="4"/>
    <x v="6"/>
    <x v="3"/>
    <d v="2025-05-17T00:00:00"/>
    <d v="2025-05-26T00:00:00"/>
    <b v="1"/>
    <n v="1"/>
    <b v="0"/>
    <m/>
    <b v="0"/>
    <m/>
    <b v="0"/>
    <m/>
    <n v="71"/>
    <n v="68"/>
    <n v="72"/>
    <b v="0"/>
    <m/>
    <x v="0"/>
    <m/>
    <x v="1"/>
    <x v="0"/>
    <n v="9"/>
    <s v="Pediu prazo adicional para retorno."/>
  </r>
  <r>
    <n v="319"/>
    <s v="Isadora da Luz"/>
    <s v="joao-gabriel89@gmail.com"/>
    <s v="REQ-1005"/>
    <x v="2"/>
    <s v="Operations"/>
    <s v="Campinas"/>
    <s v="Remoto"/>
    <x v="1"/>
    <x v="61"/>
    <s v="Laura"/>
    <x v="3"/>
    <x v="2"/>
    <x v="1"/>
    <d v="2025-01-11T00:00:00"/>
    <d v="2025-01-13T00:00:00"/>
    <b v="1"/>
    <n v="3"/>
    <b v="1"/>
    <d v="2025-01-22T00:00:00"/>
    <b v="1"/>
    <d v="2025-01-27T00:00:00"/>
    <b v="1"/>
    <d v="2025-01-28T00:00:00"/>
    <n v="72"/>
    <n v="69"/>
    <n v="70"/>
    <b v="0"/>
    <m/>
    <x v="0"/>
    <m/>
    <x v="0"/>
    <x v="9"/>
    <n v="17"/>
    <s v="Feedback positivo do gestor."/>
  </r>
  <r>
    <n v="320"/>
    <s v="Pedro Henrique Barbosa"/>
    <s v="clarada-conceicao@bol.com.br"/>
    <s v="REQ-1081"/>
    <x v="3"/>
    <s v="Operations"/>
    <s v="Remote"/>
    <s v="Híbrido"/>
    <x v="0"/>
    <x v="82"/>
    <s v="Evelyn"/>
    <x v="1"/>
    <x v="0"/>
    <x v="2"/>
    <d v="2025-03-03T00:00:00"/>
    <d v="2025-03-08T00:00:00"/>
    <b v="1"/>
    <n v="5"/>
    <b v="1"/>
    <d v="2025-03-11T00:00:00"/>
    <b v="1"/>
    <d v="2025-03-24T00:00:00"/>
    <b v="1"/>
    <d v="2025-03-31T00:00:00"/>
    <n v="80"/>
    <n v="80"/>
    <n v="71"/>
    <b v="1"/>
    <d v="2025-04-02T00:00:00"/>
    <x v="1"/>
    <d v="2025-04-04T00:00:00"/>
    <x v="4"/>
    <x v="0"/>
    <n v="32"/>
    <s v="Experiência sólida, mas expectativa salarial alta."/>
  </r>
  <r>
    <n v="321"/>
    <s v="Paulo Campos"/>
    <s v="sporto@pereira.net"/>
    <s v="REQ-1078"/>
    <x v="1"/>
    <s v="Data"/>
    <s v="Remote"/>
    <s v="Presencial"/>
    <x v="1"/>
    <x v="85"/>
    <s v="Leandro"/>
    <x v="1"/>
    <x v="6"/>
    <x v="3"/>
    <d v="2025-02-11T00:00:00"/>
    <d v="2025-02-14T00:00:00"/>
    <b v="1"/>
    <n v="0"/>
    <b v="1"/>
    <d v="2025-02-20T00:00:00"/>
    <b v="1"/>
    <d v="2025-02-22T00:00:00"/>
    <b v="0"/>
    <m/>
    <n v="78"/>
    <n v="69"/>
    <n v="65"/>
    <b v="0"/>
    <m/>
    <x v="0"/>
    <m/>
    <x v="3"/>
    <x v="0"/>
    <n v="11"/>
    <s v="Apresentou aderência forte ao contexto da vaga."/>
  </r>
  <r>
    <n v="322"/>
    <s v="Sr. Erick Silva"/>
    <s v="clara69@jesus.br"/>
    <s v="REQ-1048"/>
    <x v="0"/>
    <s v="People"/>
    <s v="Belo Horizonte"/>
    <s v="Presencial"/>
    <x v="3"/>
    <x v="69"/>
    <s v="Davi Lucca"/>
    <x v="1"/>
    <x v="3"/>
    <x v="1"/>
    <d v="2025-05-14T00:00:00"/>
    <d v="2025-05-16T00:00:00"/>
    <b v="1"/>
    <n v="6"/>
    <b v="1"/>
    <d v="2025-05-22T00:00:00"/>
    <b v="0"/>
    <m/>
    <b v="0"/>
    <m/>
    <n v="100"/>
    <n v="75"/>
    <n v="90"/>
    <b v="0"/>
    <m/>
    <x v="0"/>
    <m/>
    <x v="5"/>
    <x v="9"/>
    <n v="8"/>
    <s v="Boa comunicação e resposta rápida."/>
  </r>
  <r>
    <n v="323"/>
    <s v="Dra. Mariane Martins"/>
    <s v="enzo-gabrielbarros@ig.com.br"/>
    <s v="REQ-1037"/>
    <x v="1"/>
    <s v="Tech"/>
    <s v="Rio de Janeiro"/>
    <s v="Híbrido"/>
    <x v="0"/>
    <x v="72"/>
    <s v="Joana"/>
    <x v="2"/>
    <x v="2"/>
    <x v="1"/>
    <d v="2025-02-08T00:00:00"/>
    <d v="2025-02-09T00:00:00"/>
    <b v="1"/>
    <n v="8"/>
    <b v="0"/>
    <m/>
    <b v="0"/>
    <m/>
    <b v="0"/>
    <m/>
    <n v="95"/>
    <n v="95"/>
    <n v="90"/>
    <b v="0"/>
    <m/>
    <x v="0"/>
    <m/>
    <x v="1"/>
    <x v="3"/>
    <n v="1"/>
    <s v="Pontos fortes em execução e autonomia."/>
  </r>
  <r>
    <n v="324"/>
    <s v="Dr. Juan Santos"/>
    <s v="luiz-fernando43@gmail.com"/>
    <s v="REQ-1005"/>
    <x v="1"/>
    <s v="Tech"/>
    <s v="Remote"/>
    <s v="Híbrido"/>
    <x v="0"/>
    <x v="64"/>
    <s v="Vicente"/>
    <x v="0"/>
    <x v="1"/>
    <x v="2"/>
    <d v="2025-04-11T00:00:00"/>
    <d v="2025-04-11T00:00:00"/>
    <b v="1"/>
    <n v="8"/>
    <b v="1"/>
    <d v="2025-04-13T00:00:00"/>
    <b v="0"/>
    <m/>
    <b v="0"/>
    <m/>
    <n v="57"/>
    <n v="87"/>
    <n v="86"/>
    <b v="0"/>
    <m/>
    <x v="0"/>
    <m/>
    <x v="5"/>
    <x v="4"/>
    <n v="2"/>
    <s v="Bom potencial de evolução."/>
  </r>
  <r>
    <n v="325"/>
    <s v="Sophie da Mata"/>
    <s v="da-matanina@mendes.br"/>
    <s v="REQ-1064"/>
    <x v="0"/>
    <s v="Data"/>
    <s v="Rio de Janeiro"/>
    <s v="Presencial"/>
    <x v="1"/>
    <x v="62"/>
    <s v="Isaac"/>
    <x v="2"/>
    <x v="3"/>
    <x v="3"/>
    <d v="2025-05-15T00:00:00"/>
    <d v="2025-05-18T00:00:00"/>
    <b v="1"/>
    <n v="1"/>
    <b v="1"/>
    <d v="2025-05-27T00:00:00"/>
    <b v="0"/>
    <m/>
    <b v="0"/>
    <m/>
    <n v="65"/>
    <n v="86"/>
    <n v="75"/>
    <b v="0"/>
    <m/>
    <x v="0"/>
    <m/>
    <x v="5"/>
    <x v="8"/>
    <n v="12"/>
    <s v="Experiência sólida, mas expectativa salarial alta."/>
  </r>
  <r>
    <n v="326"/>
    <s v="Nicolas Almeida"/>
    <s v="tcarvalho@caldeira.com"/>
    <s v="REQ-1038"/>
    <x v="2"/>
    <s v="Data"/>
    <s v="Rio de Janeiro"/>
    <s v="Híbrido"/>
    <x v="3"/>
    <x v="105"/>
    <s v="João Miguel"/>
    <x v="4"/>
    <x v="6"/>
    <x v="3"/>
    <d v="2025-04-25T00:00:00"/>
    <d v="2025-04-25T00:00:00"/>
    <b v="1"/>
    <n v="11"/>
    <b v="0"/>
    <m/>
    <b v="0"/>
    <m/>
    <b v="0"/>
    <m/>
    <n v="86"/>
    <n v="97"/>
    <n v="90"/>
    <b v="0"/>
    <m/>
    <x v="0"/>
    <m/>
    <x v="1"/>
    <x v="0"/>
    <n v="0"/>
    <s v="Pontos fortes em execução e autonomia."/>
  </r>
  <r>
    <n v="327"/>
    <s v="Letícia Cunha"/>
    <s v="joanada-paz@ig.com.br"/>
    <s v="REQ-1035"/>
    <x v="3"/>
    <s v="People"/>
    <s v="São Paulo"/>
    <s v="Híbrido"/>
    <x v="2"/>
    <x v="62"/>
    <s v="Isabel"/>
    <x v="0"/>
    <x v="0"/>
    <x v="3"/>
    <d v="2025-03-18T00:00:00"/>
    <d v="2025-03-21T00:00:00"/>
    <b v="1"/>
    <n v="0"/>
    <b v="1"/>
    <d v="2025-03-26T00:00:00"/>
    <b v="1"/>
    <d v="2025-04-09T00:00:00"/>
    <b v="1"/>
    <d v="2025-04-19T00:00:00"/>
    <n v="51"/>
    <n v="70"/>
    <n v="55"/>
    <b v="0"/>
    <m/>
    <x v="0"/>
    <m/>
    <x v="0"/>
    <x v="3"/>
    <n v="32"/>
    <s v="Experiência sólida, mas expectativa salarial alta."/>
  </r>
  <r>
    <n v="328"/>
    <s v="Yasmin Cardoso"/>
    <s v="da-rochaheitor@gmail.com"/>
    <s v="REQ-1007"/>
    <x v="3"/>
    <s v="People"/>
    <s v="Remote"/>
    <s v="Remoto"/>
    <x v="3"/>
    <x v="34"/>
    <s v="Maysa"/>
    <x v="2"/>
    <x v="2"/>
    <x v="2"/>
    <d v="2025-05-18T00:00:00"/>
    <d v="2025-05-18T00:00:00"/>
    <b v="0"/>
    <m/>
    <b v="0"/>
    <m/>
    <b v="0"/>
    <m/>
    <b v="0"/>
    <m/>
    <n v="67"/>
    <n v="78"/>
    <n v="79"/>
    <b v="0"/>
    <m/>
    <x v="0"/>
    <m/>
    <x v="2"/>
    <x v="1"/>
    <n v="0"/>
    <s v="Baixa responsividade nas etapas iniciais."/>
  </r>
  <r>
    <n v="329"/>
    <s v="Isadora Costa"/>
    <s v="monteiroguilherme@ig.com.br"/>
    <s v="REQ-1002"/>
    <x v="3"/>
    <s v="Tech"/>
    <s v="Remote"/>
    <s v="Presencial"/>
    <x v="2"/>
    <x v="85"/>
    <s v="Ana Sophia"/>
    <x v="5"/>
    <x v="5"/>
    <x v="0"/>
    <d v="2025-03-03T00:00:00"/>
    <d v="2025-03-07T00:00:00"/>
    <b v="0"/>
    <m/>
    <b v="0"/>
    <m/>
    <b v="0"/>
    <m/>
    <b v="0"/>
    <m/>
    <n v="99"/>
    <n v="65"/>
    <n v="83"/>
    <b v="0"/>
    <m/>
    <x v="0"/>
    <m/>
    <x v="2"/>
    <x v="1"/>
    <n v="4"/>
    <s v="Pediu prazo adicional para retorno."/>
  </r>
  <r>
    <n v="330"/>
    <s v="Sra. Larissa da Rosa"/>
    <s v="kamilly13@rodrigues.br"/>
    <s v="REQ-1052"/>
    <x v="1"/>
    <s v="People"/>
    <s v="São Paulo"/>
    <s v="Remoto"/>
    <x v="1"/>
    <x v="80"/>
    <s v="Murilo"/>
    <x v="1"/>
    <x v="7"/>
    <x v="2"/>
    <d v="2025-01-29T00:00:00"/>
    <d v="2025-01-30T00:00:00"/>
    <b v="1"/>
    <n v="4"/>
    <b v="1"/>
    <d v="2025-02-02T00:00:00"/>
    <b v="1"/>
    <d v="2025-02-15T00:00:00"/>
    <b v="1"/>
    <d v="2025-02-17T00:00:00"/>
    <n v="61"/>
    <n v="87"/>
    <n v="87"/>
    <b v="0"/>
    <m/>
    <x v="0"/>
    <m/>
    <x v="0"/>
    <x v="8"/>
    <n v="19"/>
    <s v="Experiência sólida, mas expectativa salarial alta."/>
  </r>
  <r>
    <n v="331"/>
    <s v="Yasmin Mendes"/>
    <s v="luiz-henriquemoura@bol.com.br"/>
    <s v="REQ-1095"/>
    <x v="3"/>
    <s v="People"/>
    <s v="Remote"/>
    <s v="Híbrido"/>
    <x v="0"/>
    <x v="9"/>
    <s v="Olivia"/>
    <x v="3"/>
    <x v="6"/>
    <x v="0"/>
    <d v="2025-05-19T00:00:00"/>
    <d v="2025-05-19T00:00:00"/>
    <b v="1"/>
    <n v="10"/>
    <b v="1"/>
    <d v="2025-05-20T00:00:00"/>
    <b v="1"/>
    <d v="2025-06-01T00:00:00"/>
    <b v="1"/>
    <d v="2025-06-02T00:00:00"/>
    <n v="66"/>
    <n v="85"/>
    <n v="69"/>
    <b v="0"/>
    <m/>
    <x v="0"/>
    <m/>
    <x v="0"/>
    <x v="1"/>
    <n v="14"/>
    <s v="Demonstrou interesse claro na oportunidade."/>
  </r>
  <r>
    <n v="332"/>
    <s v="Lucas da Mota"/>
    <s v="camilada-rocha@alves.br"/>
    <s v="REQ-1084"/>
    <x v="3"/>
    <s v="Data"/>
    <s v="Belo Horizonte"/>
    <s v="Presencial"/>
    <x v="2"/>
    <x v="23"/>
    <s v="Lucas Gabriel"/>
    <x v="0"/>
    <x v="5"/>
    <x v="0"/>
    <d v="2025-05-19T00:00:00"/>
    <d v="2025-05-21T00:00:00"/>
    <b v="0"/>
    <m/>
    <b v="0"/>
    <m/>
    <b v="0"/>
    <m/>
    <b v="0"/>
    <m/>
    <n v="77"/>
    <n v="76"/>
    <n v="75"/>
    <b v="0"/>
    <m/>
    <x v="0"/>
    <m/>
    <x v="2"/>
    <x v="1"/>
    <n v="2"/>
    <s v="Baixa responsividade nas etapas iniciais."/>
  </r>
  <r>
    <n v="333"/>
    <s v="Carolina Novaes"/>
    <s v="pietro36@ig.com.br"/>
    <s v="REQ-1091"/>
    <x v="3"/>
    <s v="Operations"/>
    <s v="São Paulo"/>
    <s v="Híbrido"/>
    <x v="1"/>
    <x v="8"/>
    <s v="Laura"/>
    <x v="4"/>
    <x v="6"/>
    <x v="2"/>
    <d v="2025-03-28T00:00:00"/>
    <d v="2025-03-28T00:00:00"/>
    <b v="0"/>
    <m/>
    <b v="0"/>
    <m/>
    <b v="0"/>
    <m/>
    <b v="0"/>
    <m/>
    <n v="60"/>
    <n v="66"/>
    <n v="68"/>
    <b v="0"/>
    <m/>
    <x v="0"/>
    <m/>
    <x v="2"/>
    <x v="1"/>
    <n v="0"/>
    <s v="Apresentou aderência forte ao contexto da vaga."/>
  </r>
  <r>
    <n v="334"/>
    <s v="Sra. Laura Costela"/>
    <s v="lucca68@campos.net"/>
    <s v="REQ-1016"/>
    <x v="2"/>
    <s v="Operations"/>
    <s v="Curitiba"/>
    <s v="Presencial"/>
    <x v="1"/>
    <x v="16"/>
    <s v="Gustavo"/>
    <x v="4"/>
    <x v="5"/>
    <x v="2"/>
    <d v="2025-04-18T00:00:00"/>
    <d v="2025-04-18T00:00:00"/>
    <b v="1"/>
    <n v="6"/>
    <b v="1"/>
    <d v="2025-04-22T00:00:00"/>
    <b v="1"/>
    <d v="2025-04-28T00:00:00"/>
    <b v="1"/>
    <d v="2025-05-05T00:00:00"/>
    <n v="71"/>
    <n v="62"/>
    <n v="68"/>
    <b v="0"/>
    <m/>
    <x v="0"/>
    <m/>
    <x v="0"/>
    <x v="0"/>
    <n v="17"/>
    <s v="Apresentou aderência forte ao contexto da vaga."/>
  </r>
  <r>
    <n v="335"/>
    <s v="Pietra Freitas"/>
    <s v="davi45@fogaca.com"/>
    <s v="REQ-1005"/>
    <x v="1"/>
    <s v="Tech"/>
    <s v="Belo Horizonte"/>
    <s v="Híbrido"/>
    <x v="0"/>
    <x v="79"/>
    <s v="Larissa"/>
    <x v="2"/>
    <x v="4"/>
    <x v="3"/>
    <d v="2025-04-26T00:00:00"/>
    <d v="2025-05-01T00:00:00"/>
    <b v="1"/>
    <n v="5"/>
    <b v="1"/>
    <d v="2025-05-06T00:00:00"/>
    <b v="1"/>
    <d v="2025-05-15T00:00:00"/>
    <b v="1"/>
    <d v="2025-05-24T00:00:00"/>
    <n v="79"/>
    <n v="81"/>
    <n v="78"/>
    <b v="1"/>
    <d v="2025-05-25T00:00:00"/>
    <x v="1"/>
    <d v="2025-06-01T00:00:00"/>
    <x v="4"/>
    <x v="0"/>
    <n v="36"/>
    <s v="Boa comunicação e resposta rápida."/>
  </r>
  <r>
    <n v="336"/>
    <s v="Bryan Dias"/>
    <s v="erick46@lopes.com"/>
    <s v="REQ-1084"/>
    <x v="2"/>
    <s v="Data"/>
    <s v="Campinas"/>
    <s v="Híbrido"/>
    <x v="1"/>
    <x v="65"/>
    <s v="Maria"/>
    <x v="5"/>
    <x v="0"/>
    <x v="2"/>
    <d v="2025-03-08T00:00:00"/>
    <d v="2025-03-11T00:00:00"/>
    <b v="1"/>
    <n v="10"/>
    <b v="1"/>
    <d v="2025-03-19T00:00:00"/>
    <b v="1"/>
    <d v="2025-04-01T00:00:00"/>
    <b v="0"/>
    <m/>
    <n v="58"/>
    <n v="78"/>
    <n v="62"/>
    <b v="0"/>
    <m/>
    <x v="0"/>
    <m/>
    <x v="3"/>
    <x v="0"/>
    <n v="24"/>
    <s v="Baixa responsividade nas etapas iniciais."/>
  </r>
  <r>
    <n v="337"/>
    <s v="Sr. Carlos Eduardo Souza"/>
    <s v="souzaesther@gmail.com"/>
    <s v="REQ-1068"/>
    <x v="2"/>
    <s v="Operations"/>
    <s v="Campinas"/>
    <s v="Presencial"/>
    <x v="3"/>
    <x v="19"/>
    <s v="Stephany"/>
    <x v="4"/>
    <x v="1"/>
    <x v="1"/>
    <d v="2025-01-06T00:00:00"/>
    <d v="2025-01-06T00:00:00"/>
    <b v="1"/>
    <n v="4"/>
    <b v="1"/>
    <d v="2025-01-09T00:00:00"/>
    <b v="1"/>
    <d v="2025-01-20T00:00:00"/>
    <b v="1"/>
    <d v="2025-01-22T00:00:00"/>
    <n v="72"/>
    <n v="72"/>
    <n v="78"/>
    <b v="1"/>
    <d v="2025-01-28T00:00:00"/>
    <x v="0"/>
    <m/>
    <x v="6"/>
    <x v="0"/>
    <n v="22"/>
    <s v="Perfil técnico acima da média."/>
  </r>
  <r>
    <n v="338"/>
    <s v="Clarice Nascimento"/>
    <s v="cunhabarbara@uol.com.br"/>
    <s v="REQ-1080"/>
    <x v="0"/>
    <s v="Tech"/>
    <s v="São Paulo"/>
    <s v="Remoto"/>
    <x v="0"/>
    <x v="106"/>
    <s v="Ryan"/>
    <x v="2"/>
    <x v="0"/>
    <x v="1"/>
    <d v="2025-02-21T00:00:00"/>
    <d v="2025-02-24T00:00:00"/>
    <b v="1"/>
    <n v="10"/>
    <b v="0"/>
    <m/>
    <b v="0"/>
    <m/>
    <b v="0"/>
    <m/>
    <n v="68"/>
    <n v="65"/>
    <n v="76"/>
    <b v="0"/>
    <m/>
    <x v="0"/>
    <m/>
    <x v="1"/>
    <x v="0"/>
    <n v="3"/>
    <s v="Demonstrou interesse claro na oportunidade."/>
  </r>
  <r>
    <n v="339"/>
    <s v="Ryan Caldeira"/>
    <s v="luiz-otavioda-costa@uol.com.br"/>
    <s v="REQ-1056"/>
    <x v="2"/>
    <s v="Tech"/>
    <s v="São Paulo"/>
    <s v="Presencial"/>
    <x v="0"/>
    <x v="31"/>
    <s v="Leonardo"/>
    <x v="0"/>
    <x v="2"/>
    <x v="3"/>
    <d v="2025-04-02T00:00:00"/>
    <d v="2025-04-02T00:00:00"/>
    <b v="1"/>
    <n v="9"/>
    <b v="0"/>
    <m/>
    <b v="0"/>
    <m/>
    <b v="0"/>
    <m/>
    <n v="88"/>
    <n v="70"/>
    <n v="79"/>
    <b v="0"/>
    <m/>
    <x v="0"/>
    <m/>
    <x v="1"/>
    <x v="0"/>
    <n v="0"/>
    <s v="Feedback positivo do gestor."/>
  </r>
  <r>
    <n v="340"/>
    <s v="Heloísa Pereira"/>
    <s v="jesusvitor-gabriel@yahoo.com.br"/>
    <s v="REQ-1022"/>
    <x v="1"/>
    <s v="Tech"/>
    <s v="São Paulo"/>
    <s v="Híbrido"/>
    <x v="1"/>
    <x v="27"/>
    <s v="João Felipe"/>
    <x v="3"/>
    <x v="6"/>
    <x v="0"/>
    <d v="2025-01-27T00:00:00"/>
    <d v="2025-02-04T00:00:00"/>
    <b v="1"/>
    <n v="3"/>
    <b v="1"/>
    <d v="2025-02-06T00:00:00"/>
    <b v="1"/>
    <d v="2025-02-13T00:00:00"/>
    <b v="0"/>
    <m/>
    <n v="54"/>
    <n v="63"/>
    <n v="48"/>
    <b v="0"/>
    <m/>
    <x v="0"/>
    <m/>
    <x v="3"/>
    <x v="8"/>
    <n v="17"/>
    <s v="Pontos fortes em execução e autonomia."/>
  </r>
  <r>
    <n v="341"/>
    <s v="Bernardo Cunha"/>
    <s v="antoniobarbosa@yahoo.com.br"/>
    <s v="REQ-1070"/>
    <x v="1"/>
    <s v="People"/>
    <s v="Campinas"/>
    <s v="Remoto"/>
    <x v="1"/>
    <x v="61"/>
    <s v="Pedro"/>
    <x v="5"/>
    <x v="0"/>
    <x v="1"/>
    <d v="2025-03-23T00:00:00"/>
    <d v="2025-03-28T00:00:00"/>
    <b v="1"/>
    <n v="3"/>
    <b v="1"/>
    <d v="2025-03-31T00:00:00"/>
    <b v="1"/>
    <d v="2025-04-02T00:00:00"/>
    <b v="1"/>
    <d v="2025-04-03T00:00:00"/>
    <n v="60"/>
    <n v="91"/>
    <n v="82"/>
    <b v="0"/>
    <m/>
    <x v="0"/>
    <m/>
    <x v="0"/>
    <x v="0"/>
    <n v="11"/>
    <s v="Pediu prazo adicional para retorno."/>
  </r>
  <r>
    <n v="342"/>
    <s v="Murilo Santos"/>
    <s v="maria-claracastro@vieira.br"/>
    <s v="REQ-1082"/>
    <x v="2"/>
    <s v="Operations"/>
    <s v="Campinas"/>
    <s v="Remoto"/>
    <x v="0"/>
    <x v="55"/>
    <s v="Ana Clara"/>
    <x v="3"/>
    <x v="5"/>
    <x v="3"/>
    <d v="2025-01-22T00:00:00"/>
    <d v="2025-01-28T00:00:00"/>
    <b v="0"/>
    <m/>
    <b v="0"/>
    <m/>
    <b v="0"/>
    <m/>
    <b v="0"/>
    <m/>
    <n v="76"/>
    <n v="78"/>
    <n v="80"/>
    <b v="0"/>
    <m/>
    <x v="0"/>
    <m/>
    <x v="2"/>
    <x v="1"/>
    <n v="6"/>
    <s v="Boa comunicação e resposta rápida."/>
  </r>
  <r>
    <n v="343"/>
    <s v="Luiza da Rosa"/>
    <s v="fernandacorreia@yahoo.com.br"/>
    <s v="REQ-1057"/>
    <x v="1"/>
    <s v="Tech"/>
    <s v="Belo Horizonte"/>
    <s v="Híbrido"/>
    <x v="1"/>
    <x v="11"/>
    <s v="Levi"/>
    <x v="4"/>
    <x v="4"/>
    <x v="0"/>
    <d v="2025-01-27T00:00:00"/>
    <d v="2025-01-27T00:00:00"/>
    <b v="0"/>
    <m/>
    <b v="0"/>
    <m/>
    <b v="0"/>
    <m/>
    <b v="0"/>
    <m/>
    <n v="100"/>
    <n v="77"/>
    <n v="80"/>
    <b v="0"/>
    <m/>
    <x v="0"/>
    <m/>
    <x v="2"/>
    <x v="1"/>
    <n v="0"/>
    <s v="Pontos fortes em execução e autonomia."/>
  </r>
  <r>
    <n v="344"/>
    <s v="Heitor Rezende"/>
    <s v="cunhacamila@azevedo.org"/>
    <s v="REQ-1029"/>
    <x v="0"/>
    <s v="People"/>
    <s v="Belo Horizonte"/>
    <s v="Híbrido"/>
    <x v="0"/>
    <x v="5"/>
    <s v="Ana Lívia"/>
    <x v="2"/>
    <x v="5"/>
    <x v="2"/>
    <d v="2025-03-04T00:00:00"/>
    <d v="2025-03-04T00:00:00"/>
    <b v="1"/>
    <n v="0"/>
    <b v="1"/>
    <d v="2025-03-08T00:00:00"/>
    <b v="0"/>
    <m/>
    <b v="0"/>
    <m/>
    <n v="47"/>
    <n v="100"/>
    <n v="88"/>
    <b v="0"/>
    <m/>
    <x v="0"/>
    <m/>
    <x v="5"/>
    <x v="3"/>
    <n v="4"/>
    <s v="Perfil técnico acima da média."/>
  </r>
  <r>
    <n v="345"/>
    <s v="Ana Sophia Peixoto"/>
    <s v="jbarbosa@hotmail.com"/>
    <s v="REQ-1017"/>
    <x v="3"/>
    <s v="Tech"/>
    <s v="Remote"/>
    <s v="Presencial"/>
    <x v="1"/>
    <x v="59"/>
    <s v="Eloah"/>
    <x v="2"/>
    <x v="0"/>
    <x v="2"/>
    <d v="2025-02-17T00:00:00"/>
    <d v="2025-02-23T00:00:00"/>
    <b v="1"/>
    <n v="4"/>
    <b v="0"/>
    <m/>
    <b v="0"/>
    <m/>
    <b v="0"/>
    <m/>
    <n v="61"/>
    <n v="95"/>
    <n v="90"/>
    <b v="0"/>
    <m/>
    <x v="0"/>
    <m/>
    <x v="1"/>
    <x v="4"/>
    <n v="6"/>
    <s v="Feedback positivo do gestor."/>
  </r>
  <r>
    <n v="346"/>
    <s v="Pedro Miguel Peixoto"/>
    <s v="haraujo@cavalcanti.com"/>
    <s v="REQ-1054"/>
    <x v="1"/>
    <s v="Data"/>
    <s v="Remote"/>
    <s v="Remoto"/>
    <x v="0"/>
    <x v="11"/>
    <s v="Cecília"/>
    <x v="0"/>
    <x v="3"/>
    <x v="2"/>
    <d v="2025-04-11T00:00:00"/>
    <d v="2025-04-12T00:00:00"/>
    <b v="0"/>
    <m/>
    <b v="0"/>
    <m/>
    <b v="0"/>
    <m/>
    <b v="0"/>
    <m/>
    <n v="84"/>
    <n v="87"/>
    <n v="89"/>
    <b v="0"/>
    <m/>
    <x v="0"/>
    <m/>
    <x v="2"/>
    <x v="1"/>
    <n v="1"/>
    <s v="Feedback positivo do gestor."/>
  </r>
  <r>
    <n v="347"/>
    <s v="Giovanna Costa"/>
    <s v="peixotoyuri@santos.com"/>
    <s v="REQ-1094"/>
    <x v="1"/>
    <s v="People"/>
    <s v="Campinas"/>
    <s v="Híbrido"/>
    <x v="2"/>
    <x v="107"/>
    <s v="Davi Lucca"/>
    <x v="2"/>
    <x v="3"/>
    <x v="0"/>
    <d v="2025-03-03T00:00:00"/>
    <d v="2025-03-04T00:00:00"/>
    <b v="0"/>
    <m/>
    <b v="0"/>
    <m/>
    <b v="0"/>
    <m/>
    <b v="0"/>
    <m/>
    <n v="87"/>
    <n v="87"/>
    <n v="82"/>
    <b v="0"/>
    <m/>
    <x v="0"/>
    <m/>
    <x v="2"/>
    <x v="1"/>
    <n v="1"/>
    <s v="Perfil técnico acima da média."/>
  </r>
  <r>
    <n v="348"/>
    <s v="Maria Alice da Paz"/>
    <s v="almeidalais@uol.com.br"/>
    <s v="REQ-1094"/>
    <x v="0"/>
    <s v="People"/>
    <s v="Remote"/>
    <s v="Remoto"/>
    <x v="1"/>
    <x v="52"/>
    <s v="Theo"/>
    <x v="3"/>
    <x v="5"/>
    <x v="0"/>
    <d v="2025-01-12T00:00:00"/>
    <d v="2025-01-14T00:00:00"/>
    <b v="0"/>
    <m/>
    <b v="0"/>
    <m/>
    <b v="0"/>
    <m/>
    <b v="0"/>
    <m/>
    <n v="69"/>
    <n v="63"/>
    <n v="75"/>
    <b v="0"/>
    <m/>
    <x v="0"/>
    <m/>
    <x v="2"/>
    <x v="1"/>
    <n v="2"/>
    <s v="Pediu prazo adicional para retorno."/>
  </r>
  <r>
    <n v="349"/>
    <s v="João Vitor Peixoto"/>
    <s v="vitor-gabrielsales@uol.com.br"/>
    <s v="REQ-1042"/>
    <x v="0"/>
    <s v="Operations"/>
    <s v="Campinas"/>
    <s v="Presencial"/>
    <x v="2"/>
    <x v="108"/>
    <s v="Pedro"/>
    <x v="2"/>
    <x v="7"/>
    <x v="2"/>
    <d v="2025-05-03T00:00:00"/>
    <d v="2025-05-06T00:00:00"/>
    <b v="1"/>
    <n v="7"/>
    <b v="1"/>
    <d v="2025-05-14T00:00:00"/>
    <b v="1"/>
    <d v="2025-05-28T00:00:00"/>
    <b v="1"/>
    <d v="2025-06-01T00:00:00"/>
    <n v="78"/>
    <n v="78"/>
    <n v="74"/>
    <b v="1"/>
    <d v="2025-06-02T00:00:00"/>
    <x v="1"/>
    <d v="2025-06-13T00:00:00"/>
    <x v="4"/>
    <x v="0"/>
    <n v="41"/>
    <s v="Bom potencial de evolução."/>
  </r>
  <r>
    <n v="350"/>
    <s v="Alexandre Novaes"/>
    <s v="danilonunes@uol.com.br"/>
    <s v="REQ-1025"/>
    <x v="0"/>
    <s v="Data"/>
    <s v="Campinas"/>
    <s v="Presencial"/>
    <x v="0"/>
    <x v="109"/>
    <s v="Lorenzo"/>
    <x v="4"/>
    <x v="1"/>
    <x v="3"/>
    <d v="2025-01-14T00:00:00"/>
    <d v="2025-01-14T00:00:00"/>
    <b v="1"/>
    <n v="6"/>
    <b v="0"/>
    <m/>
    <b v="0"/>
    <m/>
    <b v="0"/>
    <m/>
    <n v="82"/>
    <n v="71"/>
    <n v="73"/>
    <b v="0"/>
    <m/>
    <x v="0"/>
    <m/>
    <x v="1"/>
    <x v="0"/>
    <n v="0"/>
    <s v="Boa comunicação e resposta rápida."/>
  </r>
  <r>
    <n v="351"/>
    <s v="Juliana Rezende"/>
    <s v="pintonina@campos.com"/>
    <s v="REQ-1037"/>
    <x v="3"/>
    <s v="Tech"/>
    <s v="Belo Horizonte"/>
    <s v="Híbrido"/>
    <x v="1"/>
    <x v="41"/>
    <s v="Marina"/>
    <x v="2"/>
    <x v="1"/>
    <x v="3"/>
    <d v="2025-05-04T00:00:00"/>
    <d v="2025-05-07T00:00:00"/>
    <b v="1"/>
    <n v="7"/>
    <b v="1"/>
    <d v="2025-05-16T00:00:00"/>
    <b v="1"/>
    <d v="2025-05-29T00:00:00"/>
    <b v="1"/>
    <d v="2025-06-07T00:00:00"/>
    <n v="67"/>
    <n v="77"/>
    <n v="78"/>
    <b v="0"/>
    <m/>
    <x v="0"/>
    <m/>
    <x v="0"/>
    <x v="0"/>
    <n v="34"/>
    <s v="Pediu prazo adicional para retorno."/>
  </r>
  <r>
    <n v="352"/>
    <s v="Lorenzo Aragão"/>
    <s v="brenoazevedo@yahoo.com.br"/>
    <s v="REQ-1075"/>
    <x v="2"/>
    <s v="Operations"/>
    <s v="Rio de Janeiro"/>
    <s v="Remoto"/>
    <x v="1"/>
    <x v="58"/>
    <s v="Lavínia"/>
    <x v="0"/>
    <x v="4"/>
    <x v="1"/>
    <d v="2025-02-19T00:00:00"/>
    <d v="2025-02-21T00:00:00"/>
    <b v="1"/>
    <n v="8"/>
    <b v="1"/>
    <d v="2025-03-02T00:00:00"/>
    <b v="1"/>
    <d v="2025-03-10T00:00:00"/>
    <b v="1"/>
    <d v="2025-03-11T00:00:00"/>
    <n v="83"/>
    <n v="88"/>
    <n v="78"/>
    <b v="1"/>
    <d v="2025-03-16T00:00:00"/>
    <x v="0"/>
    <m/>
    <x v="6"/>
    <x v="0"/>
    <n v="25"/>
    <s v="Apresentou aderência forte ao contexto da vaga."/>
  </r>
  <r>
    <n v="353"/>
    <s v="Dr. Guilherme Barbosa"/>
    <s v="laviniaviana@yahoo.com.br"/>
    <s v="REQ-1058"/>
    <x v="3"/>
    <s v="Operations"/>
    <s v="Curitiba"/>
    <s v="Remoto"/>
    <x v="3"/>
    <x v="91"/>
    <s v="Ana Beatriz"/>
    <x v="2"/>
    <x v="7"/>
    <x v="0"/>
    <d v="2025-02-26T00:00:00"/>
    <d v="2025-02-26T00:00:00"/>
    <b v="1"/>
    <n v="2"/>
    <b v="0"/>
    <m/>
    <b v="0"/>
    <m/>
    <b v="0"/>
    <m/>
    <n v="79"/>
    <n v="85"/>
    <n v="79"/>
    <b v="0"/>
    <m/>
    <x v="0"/>
    <m/>
    <x v="1"/>
    <x v="6"/>
    <n v="0"/>
    <s v="Demonstrou interesse claro na oportunidade."/>
  </r>
  <r>
    <n v="354"/>
    <s v="Emanuel Rodrigues"/>
    <s v="nogueirayago@uol.com.br"/>
    <s v="REQ-1064"/>
    <x v="0"/>
    <s v="People"/>
    <s v="Curitiba"/>
    <s v="Presencial"/>
    <x v="0"/>
    <x v="44"/>
    <s v="André"/>
    <x v="4"/>
    <x v="7"/>
    <x v="2"/>
    <d v="2025-03-28T00:00:00"/>
    <d v="2025-03-28T00:00:00"/>
    <b v="1"/>
    <n v="12"/>
    <b v="1"/>
    <d v="2025-04-01T00:00:00"/>
    <b v="0"/>
    <m/>
    <b v="0"/>
    <m/>
    <n v="78"/>
    <n v="76"/>
    <n v="63"/>
    <b v="0"/>
    <m/>
    <x v="0"/>
    <m/>
    <x v="5"/>
    <x v="1"/>
    <n v="4"/>
    <s v="Pontos fortes em execução e autonomia."/>
  </r>
  <r>
    <n v="355"/>
    <s v="Dr. Kaique Duarte"/>
    <s v="ymoura@gmail.com"/>
    <s v="REQ-1090"/>
    <x v="0"/>
    <s v="Operations"/>
    <s v="Campinas"/>
    <s v="Presencial"/>
    <x v="1"/>
    <x v="62"/>
    <s v="Lucca"/>
    <x v="2"/>
    <x v="4"/>
    <x v="0"/>
    <d v="2025-04-11T00:00:00"/>
    <d v="2025-04-16T00:00:00"/>
    <b v="1"/>
    <n v="6"/>
    <b v="1"/>
    <d v="2025-04-24T00:00:00"/>
    <b v="1"/>
    <d v="2025-05-06T00:00:00"/>
    <b v="1"/>
    <d v="2025-05-14T00:00:00"/>
    <n v="70"/>
    <n v="63"/>
    <n v="71"/>
    <b v="0"/>
    <m/>
    <x v="0"/>
    <m/>
    <x v="0"/>
    <x v="0"/>
    <n v="33"/>
    <s v="Bom potencial de evolução."/>
  </r>
  <r>
    <n v="356"/>
    <s v="Maria Sophia da Cruz"/>
    <s v="joao-felipe25@bol.com.br"/>
    <s v="REQ-1082"/>
    <x v="0"/>
    <s v="People"/>
    <s v="Rio de Janeiro"/>
    <s v="Híbrido"/>
    <x v="1"/>
    <x v="41"/>
    <s v="Bernardo"/>
    <x v="3"/>
    <x v="5"/>
    <x v="1"/>
    <d v="2025-01-30T00:00:00"/>
    <d v="2025-01-31T00:00:00"/>
    <b v="0"/>
    <m/>
    <b v="0"/>
    <m/>
    <b v="0"/>
    <m/>
    <b v="0"/>
    <m/>
    <n v="75"/>
    <n v="76"/>
    <n v="85"/>
    <b v="0"/>
    <m/>
    <x v="0"/>
    <m/>
    <x v="2"/>
    <x v="1"/>
    <n v="1"/>
    <s v="Feedback positivo do gestor."/>
  </r>
  <r>
    <n v="357"/>
    <s v="Vitor Dias"/>
    <s v="joao-vitornovaes@silveira.com"/>
    <s v="REQ-1023"/>
    <x v="3"/>
    <s v="Operations"/>
    <s v="Curitiba"/>
    <s v="Presencial"/>
    <x v="2"/>
    <x v="41"/>
    <s v="Valentina"/>
    <x v="0"/>
    <x v="7"/>
    <x v="3"/>
    <d v="2025-04-21T00:00:00"/>
    <d v="2025-04-22T00:00:00"/>
    <b v="0"/>
    <m/>
    <b v="0"/>
    <m/>
    <b v="0"/>
    <m/>
    <b v="0"/>
    <m/>
    <n v="84"/>
    <n v="78"/>
    <n v="78"/>
    <b v="0"/>
    <m/>
    <x v="0"/>
    <m/>
    <x v="2"/>
    <x v="1"/>
    <n v="1"/>
    <s v="Baixa responsividade nas etapas iniciais."/>
  </r>
  <r>
    <n v="358"/>
    <s v="Dr. Cauã Almeida"/>
    <s v="gustavo-henriqueda-cruz@hotmail.com"/>
    <s v="REQ-1088"/>
    <x v="3"/>
    <s v="Data"/>
    <s v="Remote"/>
    <s v="Presencial"/>
    <x v="0"/>
    <x v="45"/>
    <s v="Letícia"/>
    <x v="3"/>
    <x v="6"/>
    <x v="0"/>
    <d v="2025-02-13T00:00:00"/>
    <d v="2025-02-16T00:00:00"/>
    <b v="1"/>
    <n v="8"/>
    <b v="0"/>
    <m/>
    <b v="0"/>
    <m/>
    <b v="0"/>
    <m/>
    <n v="59"/>
    <n v="85"/>
    <n v="81"/>
    <b v="0"/>
    <m/>
    <x v="0"/>
    <m/>
    <x v="1"/>
    <x v="3"/>
    <n v="3"/>
    <s v="Apresentou aderência forte ao contexto da vaga."/>
  </r>
  <r>
    <n v="359"/>
    <s v="Paulo Souza"/>
    <s v="zcunha@rodrigues.net"/>
    <s v="REQ-1081"/>
    <x v="3"/>
    <s v="People"/>
    <s v="Rio de Janeiro"/>
    <s v="Presencial"/>
    <x v="0"/>
    <x v="45"/>
    <s v="Elisa"/>
    <x v="5"/>
    <x v="0"/>
    <x v="3"/>
    <d v="2025-04-25T00:00:00"/>
    <d v="2025-04-27T00:00:00"/>
    <b v="0"/>
    <m/>
    <b v="0"/>
    <m/>
    <b v="0"/>
    <m/>
    <b v="0"/>
    <m/>
    <n v="66"/>
    <n v="67"/>
    <n v="69"/>
    <b v="0"/>
    <m/>
    <x v="0"/>
    <m/>
    <x v="2"/>
    <x v="1"/>
    <n v="2"/>
    <s v="Bom potencial de evolução."/>
  </r>
  <r>
    <n v="360"/>
    <s v="Otávio Costa"/>
    <s v="maria94@bol.com.br"/>
    <s v="REQ-1007"/>
    <x v="0"/>
    <s v="People"/>
    <s v="Belo Horizonte"/>
    <s v="Remoto"/>
    <x v="3"/>
    <x v="95"/>
    <s v="Sophia"/>
    <x v="3"/>
    <x v="6"/>
    <x v="0"/>
    <d v="2025-03-04T00:00:00"/>
    <d v="2025-03-08T00:00:00"/>
    <b v="1"/>
    <n v="12"/>
    <b v="0"/>
    <m/>
    <b v="0"/>
    <m/>
    <b v="0"/>
    <m/>
    <n v="96"/>
    <n v="85"/>
    <n v="100"/>
    <b v="0"/>
    <m/>
    <x v="0"/>
    <m/>
    <x v="1"/>
    <x v="4"/>
    <n v="4"/>
    <s v="Pontos fortes em execução e autonomia."/>
  </r>
  <r>
    <n v="361"/>
    <s v="Sr. Ian Carvalho"/>
    <s v="araujomaysa@araujo.br"/>
    <s v="REQ-1058"/>
    <x v="1"/>
    <s v="Data"/>
    <s v="Belo Horizonte"/>
    <s v="Presencial"/>
    <x v="0"/>
    <x v="76"/>
    <s v="Vitor Hugo"/>
    <x v="0"/>
    <x v="4"/>
    <x v="1"/>
    <d v="2025-03-20T00:00:00"/>
    <d v="2025-03-20T00:00:00"/>
    <b v="0"/>
    <m/>
    <b v="0"/>
    <m/>
    <b v="0"/>
    <m/>
    <b v="0"/>
    <m/>
    <n v="88"/>
    <n v="77"/>
    <n v="77"/>
    <b v="0"/>
    <m/>
    <x v="0"/>
    <m/>
    <x v="2"/>
    <x v="1"/>
    <n v="0"/>
    <s v="Demonstrou interesse claro na oportunidade."/>
  </r>
  <r>
    <n v="362"/>
    <s v="Luiz Gustavo Costela"/>
    <s v="lgoncalves@ig.com.br"/>
    <s v="REQ-1048"/>
    <x v="2"/>
    <s v="People"/>
    <s v="Rio de Janeiro"/>
    <s v="Presencial"/>
    <x v="1"/>
    <x v="8"/>
    <s v="Miguel"/>
    <x v="1"/>
    <x v="4"/>
    <x v="1"/>
    <d v="2025-02-15T00:00:00"/>
    <d v="2025-02-15T00:00:00"/>
    <b v="1"/>
    <n v="8"/>
    <b v="1"/>
    <d v="2025-02-18T00:00:00"/>
    <b v="1"/>
    <d v="2025-02-27T00:00:00"/>
    <b v="1"/>
    <d v="2025-03-03T00:00:00"/>
    <n v="76"/>
    <n v="69"/>
    <n v="73"/>
    <b v="0"/>
    <m/>
    <x v="0"/>
    <m/>
    <x v="0"/>
    <x v="2"/>
    <n v="16"/>
    <s v="Pontos fortes em execução e autonomia."/>
  </r>
  <r>
    <n v="363"/>
    <s v="Melissa Alves"/>
    <s v="carlos-eduardogomes@costela.br"/>
    <s v="REQ-1069"/>
    <x v="3"/>
    <s v="People"/>
    <s v="São Paulo"/>
    <s v="Remoto"/>
    <x v="3"/>
    <x v="95"/>
    <s v="Melissa"/>
    <x v="3"/>
    <x v="3"/>
    <x v="1"/>
    <d v="2025-04-20T00:00:00"/>
    <d v="2025-04-23T00:00:00"/>
    <b v="0"/>
    <m/>
    <b v="0"/>
    <m/>
    <b v="0"/>
    <m/>
    <b v="0"/>
    <m/>
    <n v="83"/>
    <n v="69"/>
    <n v="72"/>
    <b v="0"/>
    <m/>
    <x v="0"/>
    <m/>
    <x v="2"/>
    <x v="1"/>
    <n v="3"/>
    <s v="Baixa responsividade nas etapas iniciais."/>
  </r>
  <r>
    <n v="364"/>
    <s v="Clara Teixeira"/>
    <s v="osilva@yahoo.com.br"/>
    <s v="REQ-1094"/>
    <x v="0"/>
    <s v="Data"/>
    <s v="Belo Horizonte"/>
    <s v="Híbrido"/>
    <x v="1"/>
    <x v="70"/>
    <s v="Ana Julia"/>
    <x v="3"/>
    <x v="3"/>
    <x v="0"/>
    <d v="2025-03-16T00:00:00"/>
    <d v="2025-03-20T00:00:00"/>
    <b v="0"/>
    <m/>
    <b v="0"/>
    <m/>
    <b v="0"/>
    <m/>
    <b v="0"/>
    <m/>
    <n v="77"/>
    <n v="71"/>
    <n v="73"/>
    <b v="0"/>
    <m/>
    <x v="0"/>
    <m/>
    <x v="2"/>
    <x v="1"/>
    <n v="4"/>
    <s v="Bom potencial de evolução."/>
  </r>
  <r>
    <n v="365"/>
    <s v="Igor Farias"/>
    <s v="limaemilly@bol.com.br"/>
    <s v="REQ-1021"/>
    <x v="0"/>
    <s v="Operations"/>
    <s v="Remote"/>
    <s v="Remoto"/>
    <x v="1"/>
    <x v="61"/>
    <s v="Ana Sophia"/>
    <x v="0"/>
    <x v="4"/>
    <x v="2"/>
    <d v="2025-02-13T00:00:00"/>
    <d v="2025-02-17T00:00:00"/>
    <b v="1"/>
    <n v="2"/>
    <b v="1"/>
    <d v="2025-02-25T00:00:00"/>
    <b v="0"/>
    <m/>
    <b v="0"/>
    <m/>
    <n v="53"/>
    <n v="77"/>
    <n v="52"/>
    <b v="0"/>
    <m/>
    <x v="0"/>
    <m/>
    <x v="5"/>
    <x v="0"/>
    <n v="12"/>
    <s v="Perfil técnico acima da média."/>
  </r>
  <r>
    <n v="366"/>
    <s v="Vitória Lima"/>
    <s v="luana63@barros.org"/>
    <s v="REQ-1017"/>
    <x v="1"/>
    <s v="People"/>
    <s v="Rio de Janeiro"/>
    <s v="Remoto"/>
    <x v="2"/>
    <x v="92"/>
    <s v="Isabelly"/>
    <x v="4"/>
    <x v="3"/>
    <x v="1"/>
    <d v="2025-01-21T00:00:00"/>
    <d v="2025-01-21T00:00:00"/>
    <b v="0"/>
    <m/>
    <b v="0"/>
    <m/>
    <b v="0"/>
    <m/>
    <b v="0"/>
    <m/>
    <n v="70"/>
    <n v="61"/>
    <n v="62"/>
    <b v="0"/>
    <m/>
    <x v="0"/>
    <m/>
    <x v="2"/>
    <x v="1"/>
    <n v="0"/>
    <s v="Demonstrou interesse claro na oportunidade."/>
  </r>
  <r>
    <n v="367"/>
    <s v="Luiz Otávio Oliveira"/>
    <s v="mendeskaique@gmail.com"/>
    <s v="REQ-1071"/>
    <x v="0"/>
    <s v="Operations"/>
    <s v="Campinas"/>
    <s v="Híbrido"/>
    <x v="0"/>
    <x v="11"/>
    <s v="Luiz Miguel"/>
    <x v="0"/>
    <x v="5"/>
    <x v="1"/>
    <d v="2025-03-20T00:00:00"/>
    <d v="2025-03-20T00:00:00"/>
    <b v="1"/>
    <n v="6"/>
    <b v="1"/>
    <d v="2025-03-25T00:00:00"/>
    <b v="1"/>
    <d v="2025-04-07T00:00:00"/>
    <b v="1"/>
    <d v="2025-04-15T00:00:00"/>
    <n v="78"/>
    <n v="87"/>
    <n v="78"/>
    <b v="1"/>
    <d v="2025-04-21T00:00:00"/>
    <x v="1"/>
    <d v="2025-04-26T00:00:00"/>
    <x v="4"/>
    <x v="0"/>
    <n v="37"/>
    <s v="Boa comunicação e resposta rápida."/>
  </r>
  <r>
    <n v="368"/>
    <s v="Samuel Caldeira"/>
    <s v="isabelly21@da.net"/>
    <s v="REQ-1032"/>
    <x v="3"/>
    <s v="Tech"/>
    <s v="Belo Horizonte"/>
    <s v="Híbrido"/>
    <x v="1"/>
    <x v="56"/>
    <s v="Vitor Hugo"/>
    <x v="5"/>
    <x v="7"/>
    <x v="1"/>
    <d v="2025-03-17T00:00:00"/>
    <d v="2025-03-19T00:00:00"/>
    <b v="1"/>
    <n v="11"/>
    <b v="1"/>
    <d v="2025-03-24T00:00:00"/>
    <b v="1"/>
    <d v="2025-03-27T00:00:00"/>
    <b v="1"/>
    <d v="2025-04-04T00:00:00"/>
    <n v="65"/>
    <n v="82"/>
    <n v="69"/>
    <b v="0"/>
    <m/>
    <x v="0"/>
    <m/>
    <x v="0"/>
    <x v="6"/>
    <n v="18"/>
    <s v="Bom potencial de evolução."/>
  </r>
  <r>
    <n v="369"/>
    <s v="Sofia Pereira"/>
    <s v="anthony50@ribeiro.br"/>
    <s v="REQ-1023"/>
    <x v="1"/>
    <s v="Data"/>
    <s v="Remote"/>
    <s v="Presencial"/>
    <x v="0"/>
    <x v="34"/>
    <s v="Augusto"/>
    <x v="2"/>
    <x v="1"/>
    <x v="3"/>
    <d v="2025-04-10T00:00:00"/>
    <d v="2025-04-18T00:00:00"/>
    <b v="1"/>
    <n v="11"/>
    <b v="1"/>
    <d v="2025-04-22T00:00:00"/>
    <b v="0"/>
    <m/>
    <b v="0"/>
    <m/>
    <n v="82"/>
    <n v="80"/>
    <n v="72"/>
    <b v="0"/>
    <m/>
    <x v="0"/>
    <m/>
    <x v="5"/>
    <x v="0"/>
    <n v="12"/>
    <s v="Demonstrou interesse claro na oportunidade."/>
  </r>
  <r>
    <n v="370"/>
    <s v="Enzo Gabriel Ribeiro"/>
    <s v="lara29@sales.br"/>
    <s v="REQ-1050"/>
    <x v="0"/>
    <s v="Tech"/>
    <s v="Rio de Janeiro"/>
    <s v="Híbrido"/>
    <x v="0"/>
    <x v="81"/>
    <s v="Lorenzo"/>
    <x v="2"/>
    <x v="6"/>
    <x v="1"/>
    <d v="2025-01-03T00:00:00"/>
    <d v="2025-01-09T00:00:00"/>
    <b v="1"/>
    <n v="3"/>
    <b v="0"/>
    <m/>
    <b v="0"/>
    <m/>
    <b v="0"/>
    <m/>
    <n v="78"/>
    <n v="86"/>
    <n v="88"/>
    <b v="0"/>
    <m/>
    <x v="0"/>
    <m/>
    <x v="1"/>
    <x v="6"/>
    <n v="6"/>
    <s v="Pontos fortes em execução e autonomia."/>
  </r>
  <r>
    <n v="371"/>
    <s v="Eduarda Araújo"/>
    <s v="portolevi@hotmail.com"/>
    <s v="REQ-1031"/>
    <x v="0"/>
    <s v="Data"/>
    <s v="Campinas"/>
    <s v="Híbrido"/>
    <x v="1"/>
    <x v="88"/>
    <s v="Sophie"/>
    <x v="3"/>
    <x v="2"/>
    <x v="3"/>
    <d v="2025-02-06T00:00:00"/>
    <d v="2025-02-06T00:00:00"/>
    <b v="1"/>
    <n v="6"/>
    <b v="1"/>
    <d v="2025-02-15T00:00:00"/>
    <b v="1"/>
    <d v="2025-02-20T00:00:00"/>
    <b v="1"/>
    <d v="2025-02-28T00:00:00"/>
    <n v="72"/>
    <n v="74"/>
    <n v="75"/>
    <b v="1"/>
    <d v="2025-03-03T00:00:00"/>
    <x v="1"/>
    <d v="2025-03-15T00:00:00"/>
    <x v="4"/>
    <x v="0"/>
    <n v="37"/>
    <s v="Baixa responsividade nas etapas iniciais."/>
  </r>
  <r>
    <n v="372"/>
    <s v="Ana Lívia da Costa"/>
    <s v="joao-miguelpires@ig.com.br"/>
    <s v="REQ-1016"/>
    <x v="3"/>
    <s v="Operations"/>
    <s v="Rio de Janeiro"/>
    <s v="Híbrido"/>
    <x v="3"/>
    <x v="110"/>
    <s v="Gabriela"/>
    <x v="0"/>
    <x v="0"/>
    <x v="3"/>
    <d v="2025-02-08T00:00:00"/>
    <d v="2025-02-08T00:00:00"/>
    <b v="0"/>
    <m/>
    <b v="0"/>
    <m/>
    <b v="0"/>
    <m/>
    <b v="0"/>
    <m/>
    <n v="68"/>
    <n v="70"/>
    <n v="61"/>
    <b v="0"/>
    <m/>
    <x v="0"/>
    <m/>
    <x v="2"/>
    <x v="1"/>
    <n v="0"/>
    <s v="Pontos fortes em execução e autonomia."/>
  </r>
  <r>
    <n v="373"/>
    <s v="Francisco Silveira"/>
    <s v="goncalvesjoao-guilherme@viana.net"/>
    <s v="REQ-1065"/>
    <x v="0"/>
    <s v="Operations"/>
    <s v="Curitiba"/>
    <s v="Presencial"/>
    <x v="2"/>
    <x v="100"/>
    <s v="Carlos Eduardo"/>
    <x v="5"/>
    <x v="7"/>
    <x v="0"/>
    <d v="2025-01-18T00:00:00"/>
    <d v="2025-01-23T00:00:00"/>
    <b v="0"/>
    <m/>
    <b v="0"/>
    <m/>
    <b v="0"/>
    <m/>
    <b v="0"/>
    <m/>
    <n v="78"/>
    <n v="74"/>
    <n v="73"/>
    <b v="0"/>
    <m/>
    <x v="0"/>
    <m/>
    <x v="2"/>
    <x v="1"/>
    <n v="5"/>
    <s v="Boa comunicação e resposta rápida."/>
  </r>
  <r>
    <n v="374"/>
    <s v="Thales Nogueira"/>
    <s v="cecilia07@monteiro.br"/>
    <s v="REQ-1046"/>
    <x v="3"/>
    <s v="Tech"/>
    <s v="Belo Horizonte"/>
    <s v="Remoto"/>
    <x v="1"/>
    <x v="53"/>
    <s v="Ana Laura"/>
    <x v="4"/>
    <x v="7"/>
    <x v="1"/>
    <d v="2025-04-07T00:00:00"/>
    <d v="2025-04-11T00:00:00"/>
    <b v="0"/>
    <m/>
    <b v="0"/>
    <m/>
    <b v="0"/>
    <m/>
    <b v="0"/>
    <m/>
    <n v="78"/>
    <n v="84"/>
    <n v="72"/>
    <b v="0"/>
    <m/>
    <x v="0"/>
    <m/>
    <x v="2"/>
    <x v="1"/>
    <n v="4"/>
    <s v="Pontos fortes em execução e autonomia."/>
  </r>
  <r>
    <n v="375"/>
    <s v="Levi da Costa"/>
    <s v="emoraes@uol.com.br"/>
    <s v="REQ-1088"/>
    <x v="2"/>
    <s v="People"/>
    <s v="Belo Horizonte"/>
    <s v="Remoto"/>
    <x v="0"/>
    <x v="32"/>
    <s v="Pedro Miguel"/>
    <x v="4"/>
    <x v="7"/>
    <x v="1"/>
    <d v="2025-05-25T00:00:00"/>
    <d v="2025-05-27T00:00:00"/>
    <b v="1"/>
    <n v="8"/>
    <b v="1"/>
    <d v="2025-06-01T00:00:00"/>
    <b v="1"/>
    <d v="2025-06-10T00:00:00"/>
    <b v="1"/>
    <d v="2025-06-11T00:00:00"/>
    <n v="53"/>
    <n v="77"/>
    <n v="62"/>
    <b v="0"/>
    <m/>
    <x v="0"/>
    <m/>
    <x v="0"/>
    <x v="0"/>
    <n v="17"/>
    <s v="Demonstrou interesse claro na oportunidade."/>
  </r>
  <r>
    <n v="376"/>
    <s v="Dr. Diogo da Costa"/>
    <s v="oliviagoncalves@rocha.br"/>
    <s v="REQ-1036"/>
    <x v="3"/>
    <s v="People"/>
    <s v="Remote"/>
    <s v="Presencial"/>
    <x v="0"/>
    <x v="10"/>
    <s v="Erick"/>
    <x v="0"/>
    <x v="2"/>
    <x v="1"/>
    <d v="2025-04-08T00:00:00"/>
    <d v="2025-04-08T00:00:00"/>
    <b v="1"/>
    <n v="10"/>
    <b v="0"/>
    <m/>
    <b v="0"/>
    <m/>
    <b v="0"/>
    <m/>
    <n v="80"/>
    <n v="91"/>
    <n v="82"/>
    <b v="0"/>
    <m/>
    <x v="0"/>
    <m/>
    <x v="1"/>
    <x v="0"/>
    <n v="0"/>
    <s v="Pontos fortes em execução e autonomia."/>
  </r>
  <r>
    <n v="377"/>
    <s v="Luiz Henrique da Costa"/>
    <s v="gabrielly72@martins.com"/>
    <s v="REQ-1040"/>
    <x v="0"/>
    <s v="People"/>
    <s v="Curitiba"/>
    <s v="Presencial"/>
    <x v="1"/>
    <x v="39"/>
    <s v="Danilo"/>
    <x v="3"/>
    <x v="4"/>
    <x v="0"/>
    <d v="2025-04-30T00:00:00"/>
    <d v="2025-05-01T00:00:00"/>
    <b v="0"/>
    <m/>
    <b v="0"/>
    <m/>
    <b v="0"/>
    <m/>
    <b v="0"/>
    <m/>
    <n v="60"/>
    <n v="85"/>
    <n v="72"/>
    <b v="0"/>
    <m/>
    <x v="0"/>
    <m/>
    <x v="2"/>
    <x v="1"/>
    <n v="1"/>
    <s v="Boa comunicação e resposta rápida."/>
  </r>
  <r>
    <n v="378"/>
    <s v="Matheus da Conceição"/>
    <s v="luigiaraujo@hotmail.com"/>
    <s v="REQ-1053"/>
    <x v="0"/>
    <s v="Tech"/>
    <s v="Curitiba"/>
    <s v="Híbrido"/>
    <x v="1"/>
    <x v="73"/>
    <s v="João Felipe"/>
    <x v="0"/>
    <x v="4"/>
    <x v="0"/>
    <d v="2025-05-19T00:00:00"/>
    <d v="2025-05-27T00:00:00"/>
    <b v="1"/>
    <n v="1"/>
    <b v="0"/>
    <m/>
    <b v="0"/>
    <m/>
    <b v="0"/>
    <m/>
    <n v="72"/>
    <n v="87"/>
    <n v="90"/>
    <b v="0"/>
    <m/>
    <x v="0"/>
    <m/>
    <x v="1"/>
    <x v="0"/>
    <n v="8"/>
    <s v="Demonstrou interesse claro na oportunidade."/>
  </r>
  <r>
    <n v="379"/>
    <s v="Murilo Moura"/>
    <s v="amoraes@monteiro.com"/>
    <s v="REQ-1052"/>
    <x v="0"/>
    <s v="Tech"/>
    <s v="Belo Horizonte"/>
    <s v="Híbrido"/>
    <x v="2"/>
    <x v="50"/>
    <s v="Paulo"/>
    <x v="3"/>
    <x v="1"/>
    <x v="0"/>
    <d v="2025-01-23T00:00:00"/>
    <d v="2025-01-26T00:00:00"/>
    <b v="1"/>
    <n v="1"/>
    <b v="1"/>
    <d v="2025-01-29T00:00:00"/>
    <b v="1"/>
    <d v="2025-02-07T00:00:00"/>
    <b v="1"/>
    <d v="2025-02-10T00:00:00"/>
    <n v="87"/>
    <n v="93"/>
    <n v="90"/>
    <b v="1"/>
    <d v="2025-02-11T00:00:00"/>
    <x v="1"/>
    <d v="2025-02-23T00:00:00"/>
    <x v="4"/>
    <x v="0"/>
    <n v="31"/>
    <s v="Boa comunicação e resposta rápida."/>
  </r>
  <r>
    <n v="380"/>
    <s v="Dr. Erick Melo"/>
    <s v="joao-miguelmoura@monteiro.br"/>
    <s v="REQ-1078"/>
    <x v="0"/>
    <s v="Tech"/>
    <s v="Rio de Janeiro"/>
    <s v="Híbrido"/>
    <x v="1"/>
    <x v="58"/>
    <s v="Lorena"/>
    <x v="4"/>
    <x v="2"/>
    <x v="0"/>
    <d v="2025-04-17T00:00:00"/>
    <d v="2025-04-21T00:00:00"/>
    <b v="1"/>
    <n v="10"/>
    <b v="1"/>
    <d v="2025-04-24T00:00:00"/>
    <b v="0"/>
    <m/>
    <b v="0"/>
    <m/>
    <n v="80"/>
    <n v="61"/>
    <n v="70"/>
    <b v="0"/>
    <m/>
    <x v="0"/>
    <m/>
    <x v="5"/>
    <x v="0"/>
    <n v="7"/>
    <s v="Apresentou aderência forte ao contexto da vaga."/>
  </r>
  <r>
    <n v="381"/>
    <s v="Dr. João Porto"/>
    <s v="hda-conceicao@bol.com.br"/>
    <s v="REQ-1033"/>
    <x v="3"/>
    <s v="Tech"/>
    <s v="Curitiba"/>
    <s v="Presencial"/>
    <x v="0"/>
    <x v="109"/>
    <s v="Alice"/>
    <x v="5"/>
    <x v="1"/>
    <x v="2"/>
    <d v="2025-01-03T00:00:00"/>
    <d v="2025-01-09T00:00:00"/>
    <b v="1"/>
    <n v="4"/>
    <b v="1"/>
    <d v="2025-01-18T00:00:00"/>
    <b v="1"/>
    <d v="2025-01-28T00:00:00"/>
    <b v="1"/>
    <d v="2025-02-04T00:00:00"/>
    <n v="87"/>
    <n v="93"/>
    <n v="78"/>
    <b v="1"/>
    <d v="2025-02-11T00:00:00"/>
    <x v="1"/>
    <d v="2025-02-17T00:00:00"/>
    <x v="4"/>
    <x v="0"/>
    <n v="45"/>
    <s v="Experiência sólida, mas expectativa salarial alta."/>
  </r>
  <r>
    <n v="382"/>
    <s v="Gustavo Henrique Azevedo"/>
    <s v="silvaisabelly@ferreira.com"/>
    <s v="REQ-1044"/>
    <x v="1"/>
    <s v="Data"/>
    <s v="Campinas"/>
    <s v="Presencial"/>
    <x v="1"/>
    <x v="8"/>
    <s v="Pedro"/>
    <x v="2"/>
    <x v="7"/>
    <x v="2"/>
    <d v="2025-03-24T00:00:00"/>
    <d v="2025-03-28T00:00:00"/>
    <b v="0"/>
    <m/>
    <b v="0"/>
    <m/>
    <b v="0"/>
    <m/>
    <b v="0"/>
    <m/>
    <n v="74"/>
    <n v="78"/>
    <n v="77"/>
    <b v="0"/>
    <m/>
    <x v="0"/>
    <m/>
    <x v="2"/>
    <x v="1"/>
    <n v="4"/>
    <s v="Boa comunicação e resposta rápida."/>
  </r>
  <r>
    <n v="383"/>
    <s v="Sr. Miguel Rezende"/>
    <s v="da-cruzmarina@da.com"/>
    <s v="REQ-1073"/>
    <x v="1"/>
    <s v="People"/>
    <s v="Campinas"/>
    <s v="Presencial"/>
    <x v="1"/>
    <x v="56"/>
    <s v="Eloah"/>
    <x v="2"/>
    <x v="5"/>
    <x v="0"/>
    <d v="2025-01-28T00:00:00"/>
    <d v="2025-02-02T00:00:00"/>
    <b v="1"/>
    <n v="5"/>
    <b v="1"/>
    <d v="2025-02-12T00:00:00"/>
    <b v="1"/>
    <d v="2025-02-20T00:00:00"/>
    <b v="1"/>
    <d v="2025-03-02T00:00:00"/>
    <n v="83"/>
    <n v="76"/>
    <n v="72"/>
    <b v="1"/>
    <d v="2025-03-06T00:00:00"/>
    <x v="1"/>
    <d v="2025-03-18T00:00:00"/>
    <x v="4"/>
    <x v="0"/>
    <n v="49"/>
    <s v="Perfil técnico acima da média."/>
  </r>
  <r>
    <n v="384"/>
    <s v="Bárbara Ferreira"/>
    <s v="isabellada-rosa@yahoo.com.br"/>
    <s v="REQ-1090"/>
    <x v="2"/>
    <s v="Tech"/>
    <s v="Curitiba"/>
    <s v="Híbrido"/>
    <x v="0"/>
    <x v="21"/>
    <s v="Ryan"/>
    <x v="2"/>
    <x v="0"/>
    <x v="1"/>
    <d v="2025-01-20T00:00:00"/>
    <d v="2025-01-23T00:00:00"/>
    <b v="1"/>
    <n v="1"/>
    <b v="1"/>
    <d v="2025-02-01T00:00:00"/>
    <b v="1"/>
    <d v="2025-02-14T00:00:00"/>
    <b v="1"/>
    <d v="2025-02-21T00:00:00"/>
    <n v="100"/>
    <n v="77"/>
    <n v="83"/>
    <b v="1"/>
    <d v="2025-02-28T00:00:00"/>
    <x v="1"/>
    <d v="2025-03-06T00:00:00"/>
    <x v="4"/>
    <x v="0"/>
    <n v="45"/>
    <s v="Baixa responsividade nas etapas iniciais."/>
  </r>
  <r>
    <n v="385"/>
    <s v="Cecília Costela"/>
    <s v="alicegomes@bol.com.br"/>
    <s v="REQ-1078"/>
    <x v="1"/>
    <s v="Tech"/>
    <s v="São Paulo"/>
    <s v="Remoto"/>
    <x v="3"/>
    <x v="111"/>
    <s v="Clara"/>
    <x v="1"/>
    <x v="5"/>
    <x v="1"/>
    <d v="2025-03-26T00:00:00"/>
    <d v="2025-03-26T00:00:00"/>
    <b v="1"/>
    <n v="10"/>
    <b v="1"/>
    <d v="2025-04-02T00:00:00"/>
    <b v="1"/>
    <d v="2025-04-15T00:00:00"/>
    <b v="1"/>
    <d v="2025-04-23T00:00:00"/>
    <n v="72"/>
    <n v="77"/>
    <n v="81"/>
    <b v="1"/>
    <d v="2025-04-28T00:00:00"/>
    <x v="1"/>
    <d v="2025-05-10T00:00:00"/>
    <x v="4"/>
    <x v="0"/>
    <n v="45"/>
    <s v="Pontos fortes em execução e autonomia."/>
  </r>
  <r>
    <n v="386"/>
    <s v="Dr. Marcelo das Neves"/>
    <s v="melissateixeira@yahoo.com.br"/>
    <s v="REQ-1050"/>
    <x v="2"/>
    <s v="Operations"/>
    <s v="Rio de Janeiro"/>
    <s v="Presencial"/>
    <x v="3"/>
    <x v="112"/>
    <s v="Ana Clara"/>
    <x v="4"/>
    <x v="7"/>
    <x v="1"/>
    <d v="2025-05-18T00:00:00"/>
    <d v="2025-05-20T00:00:00"/>
    <b v="1"/>
    <n v="5"/>
    <b v="1"/>
    <d v="2025-05-25T00:00:00"/>
    <b v="1"/>
    <d v="2025-06-06T00:00:00"/>
    <b v="1"/>
    <d v="2025-06-10T00:00:00"/>
    <n v="98"/>
    <n v="60"/>
    <n v="67"/>
    <b v="0"/>
    <m/>
    <x v="0"/>
    <m/>
    <x v="0"/>
    <x v="3"/>
    <n v="23"/>
    <s v="Pediu prazo adicional para retorno."/>
  </r>
  <r>
    <n v="387"/>
    <s v="Marcelo da Mota"/>
    <s v="yuri20@silva.net"/>
    <s v="REQ-1027"/>
    <x v="2"/>
    <s v="Operations"/>
    <s v="Belo Horizonte"/>
    <s v="Remoto"/>
    <x v="3"/>
    <x v="3"/>
    <s v="Laura"/>
    <x v="2"/>
    <x v="2"/>
    <x v="3"/>
    <d v="2025-04-18T00:00:00"/>
    <d v="2025-04-20T00:00:00"/>
    <b v="0"/>
    <m/>
    <b v="0"/>
    <m/>
    <b v="0"/>
    <m/>
    <b v="0"/>
    <m/>
    <n v="69"/>
    <n v="92"/>
    <n v="79"/>
    <b v="0"/>
    <m/>
    <x v="0"/>
    <m/>
    <x v="2"/>
    <x v="1"/>
    <n v="2"/>
    <s v="Boa comunicação e resposta rápida."/>
  </r>
  <r>
    <n v="388"/>
    <s v="Heitor Cavalcanti"/>
    <s v="cgomes@almeida.com"/>
    <s v="REQ-1001"/>
    <x v="3"/>
    <s v="People"/>
    <s v="Rio de Janeiro"/>
    <s v="Remoto"/>
    <x v="2"/>
    <x v="42"/>
    <s v="Lucas Gabriel"/>
    <x v="4"/>
    <x v="4"/>
    <x v="2"/>
    <d v="2025-01-23T00:00:00"/>
    <d v="2025-01-26T00:00:00"/>
    <b v="0"/>
    <m/>
    <b v="0"/>
    <m/>
    <b v="0"/>
    <m/>
    <b v="0"/>
    <m/>
    <n v="65"/>
    <n v="57"/>
    <n v="54"/>
    <b v="0"/>
    <m/>
    <x v="0"/>
    <m/>
    <x v="2"/>
    <x v="1"/>
    <n v="3"/>
    <s v="Boa comunicação e resposta rápida."/>
  </r>
  <r>
    <n v="389"/>
    <s v="Otávio Rezende"/>
    <s v="ana-julia70@nascimento.org"/>
    <s v="REQ-1094"/>
    <x v="1"/>
    <s v="People"/>
    <s v="Rio de Janeiro"/>
    <s v="Remoto"/>
    <x v="1"/>
    <x v="41"/>
    <s v="Leonardo"/>
    <x v="4"/>
    <x v="2"/>
    <x v="1"/>
    <d v="2025-04-28T00:00:00"/>
    <d v="2025-04-28T00:00:00"/>
    <b v="0"/>
    <m/>
    <b v="0"/>
    <m/>
    <b v="0"/>
    <m/>
    <b v="0"/>
    <m/>
    <n v="71"/>
    <n v="74"/>
    <n v="73"/>
    <b v="0"/>
    <m/>
    <x v="0"/>
    <m/>
    <x v="2"/>
    <x v="1"/>
    <n v="0"/>
    <s v="Perfil técnico acima da média."/>
  </r>
  <r>
    <n v="390"/>
    <s v="Juliana Rodrigues"/>
    <s v="marcos-vinicius62@yahoo.com.br"/>
    <s v="REQ-1045"/>
    <x v="2"/>
    <s v="Data"/>
    <s v="São Paulo"/>
    <s v="Remoto"/>
    <x v="0"/>
    <x v="31"/>
    <s v="Yago"/>
    <x v="2"/>
    <x v="0"/>
    <x v="2"/>
    <d v="2025-02-22T00:00:00"/>
    <d v="2025-02-26T00:00:00"/>
    <b v="0"/>
    <m/>
    <b v="0"/>
    <m/>
    <b v="0"/>
    <m/>
    <b v="0"/>
    <m/>
    <n v="80"/>
    <n v="61"/>
    <n v="79"/>
    <b v="0"/>
    <m/>
    <x v="0"/>
    <m/>
    <x v="2"/>
    <x v="1"/>
    <n v="4"/>
    <s v="Demonstrou interesse claro na oportunidade."/>
  </r>
  <r>
    <n v="391"/>
    <s v="João Guilherme Nascimento"/>
    <s v="maysacarvalho@rocha.br"/>
    <s v="REQ-1056"/>
    <x v="2"/>
    <s v="Data"/>
    <s v="Remote"/>
    <s v="Híbrido"/>
    <x v="2"/>
    <x v="2"/>
    <s v="Francisco"/>
    <x v="0"/>
    <x v="7"/>
    <x v="3"/>
    <d v="2025-02-07T00:00:00"/>
    <d v="2025-02-08T00:00:00"/>
    <b v="1"/>
    <n v="9"/>
    <b v="1"/>
    <d v="2025-02-11T00:00:00"/>
    <b v="1"/>
    <d v="2025-02-17T00:00:00"/>
    <b v="1"/>
    <d v="2025-02-21T00:00:00"/>
    <n v="73"/>
    <n v="63"/>
    <n v="81"/>
    <b v="0"/>
    <m/>
    <x v="0"/>
    <m/>
    <x v="0"/>
    <x v="8"/>
    <n v="14"/>
    <s v="Apresentou aderência forte ao contexto da vaga."/>
  </r>
  <r>
    <n v="392"/>
    <s v="Amanda Cunha"/>
    <s v="isis29@melo.com"/>
    <s v="REQ-1080"/>
    <x v="3"/>
    <s v="Tech"/>
    <s v="Rio de Janeiro"/>
    <s v="Híbrido"/>
    <x v="0"/>
    <x v="34"/>
    <s v="Kamilly"/>
    <x v="0"/>
    <x v="0"/>
    <x v="1"/>
    <d v="2025-05-25T00:00:00"/>
    <d v="2025-05-30T00:00:00"/>
    <b v="0"/>
    <m/>
    <b v="0"/>
    <m/>
    <b v="0"/>
    <m/>
    <b v="0"/>
    <m/>
    <n v="77"/>
    <n v="53"/>
    <n v="71"/>
    <b v="0"/>
    <m/>
    <x v="0"/>
    <m/>
    <x v="2"/>
    <x v="1"/>
    <n v="5"/>
    <s v="Baixa responsividade nas etapas iniciais."/>
  </r>
  <r>
    <n v="393"/>
    <s v="Emilly Nascimento"/>
    <s v="costelaana-luiza@moura.br"/>
    <s v="REQ-1099"/>
    <x v="0"/>
    <s v="People"/>
    <s v="Remote"/>
    <s v="Remoto"/>
    <x v="0"/>
    <x v="28"/>
    <s v="Emanuel"/>
    <x v="5"/>
    <x v="7"/>
    <x v="1"/>
    <d v="2025-03-31T00:00:00"/>
    <d v="2025-04-02T00:00:00"/>
    <b v="1"/>
    <n v="10"/>
    <b v="1"/>
    <d v="2025-04-06T00:00:00"/>
    <b v="1"/>
    <d v="2025-04-16T00:00:00"/>
    <b v="0"/>
    <m/>
    <n v="76"/>
    <n v="67"/>
    <n v="67"/>
    <b v="0"/>
    <m/>
    <x v="0"/>
    <m/>
    <x v="3"/>
    <x v="0"/>
    <n v="16"/>
    <s v="Pediu prazo adicional para retorno."/>
  </r>
  <r>
    <n v="394"/>
    <s v="Nicolas Lima"/>
    <s v="hmonteiro@ig.com.br"/>
    <s v="REQ-1011"/>
    <x v="3"/>
    <s v="Data"/>
    <s v="São Paulo"/>
    <s v="Remoto"/>
    <x v="2"/>
    <x v="113"/>
    <s v="Yuri"/>
    <x v="1"/>
    <x v="5"/>
    <x v="0"/>
    <d v="2025-01-05T00:00:00"/>
    <d v="2025-01-13T00:00:00"/>
    <b v="1"/>
    <n v="7"/>
    <b v="1"/>
    <d v="2025-01-15T00:00:00"/>
    <b v="1"/>
    <d v="2025-01-29T00:00:00"/>
    <b v="0"/>
    <m/>
    <n v="70"/>
    <n v="65"/>
    <n v="56"/>
    <b v="0"/>
    <m/>
    <x v="0"/>
    <m/>
    <x v="3"/>
    <x v="0"/>
    <n v="24"/>
    <s v="Perfil técnico acima da média."/>
  </r>
  <r>
    <n v="395"/>
    <s v="Sr. Renan Sales"/>
    <s v="heitor09@da.com"/>
    <s v="REQ-1005"/>
    <x v="2"/>
    <s v="Data"/>
    <s v="Belo Horizonte"/>
    <s v="Presencial"/>
    <x v="1"/>
    <x v="88"/>
    <s v="Enzo"/>
    <x v="5"/>
    <x v="3"/>
    <x v="2"/>
    <d v="2025-01-01T00:00:00"/>
    <d v="2025-01-03T00:00:00"/>
    <b v="1"/>
    <n v="9"/>
    <b v="1"/>
    <d v="2025-01-11T00:00:00"/>
    <b v="1"/>
    <d v="2025-01-20T00:00:00"/>
    <b v="1"/>
    <d v="2025-01-24T00:00:00"/>
    <n v="95"/>
    <n v="89"/>
    <n v="90"/>
    <b v="1"/>
    <d v="2025-01-30T00:00:00"/>
    <x v="1"/>
    <d v="2025-02-08T00:00:00"/>
    <x v="4"/>
    <x v="0"/>
    <n v="38"/>
    <s v="Baixa responsividade nas etapas iniciais."/>
  </r>
  <r>
    <n v="396"/>
    <s v="Diogo Aragão"/>
    <s v="rebecamonteiro@ig.com.br"/>
    <s v="REQ-1076"/>
    <x v="0"/>
    <s v="Tech"/>
    <s v="Belo Horizonte"/>
    <s v="Híbrido"/>
    <x v="1"/>
    <x v="90"/>
    <s v="Luigi"/>
    <x v="1"/>
    <x v="4"/>
    <x v="3"/>
    <d v="2025-03-13T00:00:00"/>
    <d v="2025-03-17T00:00:00"/>
    <b v="1"/>
    <n v="11"/>
    <b v="1"/>
    <d v="2025-03-19T00:00:00"/>
    <b v="1"/>
    <d v="2025-03-30T00:00:00"/>
    <b v="1"/>
    <d v="2025-04-02T00:00:00"/>
    <n v="57"/>
    <n v="56"/>
    <n v="59"/>
    <b v="0"/>
    <m/>
    <x v="0"/>
    <m/>
    <x v="0"/>
    <x v="9"/>
    <n v="20"/>
    <s v="Feedback positivo do gestor."/>
  </r>
  <r>
    <n v="397"/>
    <s v="Sra. Alice Cardoso"/>
    <s v="nunesluiz-gustavo@hotmail.com"/>
    <s v="REQ-1095"/>
    <x v="2"/>
    <s v="Operations"/>
    <s v="São Paulo"/>
    <s v="Híbrido"/>
    <x v="1"/>
    <x v="49"/>
    <s v="Maria Vitória"/>
    <x v="2"/>
    <x v="4"/>
    <x v="2"/>
    <d v="2025-01-14T00:00:00"/>
    <d v="2025-01-15T00:00:00"/>
    <b v="1"/>
    <n v="12"/>
    <b v="0"/>
    <m/>
    <b v="0"/>
    <m/>
    <b v="0"/>
    <m/>
    <n v="82"/>
    <n v="70"/>
    <n v="81"/>
    <b v="0"/>
    <m/>
    <x v="0"/>
    <m/>
    <x v="1"/>
    <x v="0"/>
    <n v="1"/>
    <s v="Pediu prazo adicional para retorno."/>
  </r>
  <r>
    <n v="398"/>
    <s v="Maria Alice Silva"/>
    <s v="xvieira@hotmail.com"/>
    <s v="REQ-1059"/>
    <x v="0"/>
    <s v="Tech"/>
    <s v="Remote"/>
    <s v="Remoto"/>
    <x v="0"/>
    <x v="82"/>
    <s v="Pietro"/>
    <x v="0"/>
    <x v="2"/>
    <x v="3"/>
    <d v="2025-02-12T00:00:00"/>
    <d v="2025-02-12T00:00:00"/>
    <b v="1"/>
    <n v="6"/>
    <b v="1"/>
    <d v="2025-02-15T00:00:00"/>
    <b v="1"/>
    <d v="2025-02-18T00:00:00"/>
    <b v="0"/>
    <m/>
    <n v="68"/>
    <n v="75"/>
    <n v="62"/>
    <b v="0"/>
    <m/>
    <x v="0"/>
    <m/>
    <x v="3"/>
    <x v="0"/>
    <n v="6"/>
    <s v="Demonstrou interesse claro na oportunidade."/>
  </r>
  <r>
    <n v="399"/>
    <s v="Henrique da Luz"/>
    <s v="luiz-fernandomonteiro@yahoo.com.br"/>
    <s v="REQ-1044"/>
    <x v="1"/>
    <s v="People"/>
    <s v="Campinas"/>
    <s v="Remoto"/>
    <x v="0"/>
    <x v="66"/>
    <s v="Noah"/>
    <x v="5"/>
    <x v="7"/>
    <x v="3"/>
    <d v="2025-02-13T00:00:00"/>
    <d v="2025-02-19T00:00:00"/>
    <b v="1"/>
    <n v="10"/>
    <b v="1"/>
    <d v="2025-02-20T00:00:00"/>
    <b v="1"/>
    <d v="2025-02-25T00:00:00"/>
    <b v="1"/>
    <d v="2025-02-27T00:00:00"/>
    <n v="79"/>
    <n v="82"/>
    <n v="81"/>
    <b v="1"/>
    <d v="2025-03-06T00:00:00"/>
    <x v="0"/>
    <m/>
    <x v="6"/>
    <x v="0"/>
    <n v="21"/>
    <s v="Experiência sólida, mas expectativa salarial alta."/>
  </r>
  <r>
    <n v="400"/>
    <s v="Sabrina da Conceição"/>
    <s v="joao-gabriel20@uol.com.br"/>
    <s v="REQ-1033"/>
    <x v="2"/>
    <s v="Operations"/>
    <s v="Campinas"/>
    <s v="Presencial"/>
    <x v="1"/>
    <x v="61"/>
    <s v="Vitor Gabriel"/>
    <x v="2"/>
    <x v="6"/>
    <x v="1"/>
    <d v="2025-02-16T00:00:00"/>
    <d v="2025-02-23T00:00:00"/>
    <b v="1"/>
    <n v="0"/>
    <b v="1"/>
    <d v="2025-02-24T00:00:00"/>
    <b v="1"/>
    <d v="2025-03-08T00:00:00"/>
    <b v="1"/>
    <d v="2025-03-09T00:00:00"/>
    <n v="63"/>
    <n v="64"/>
    <n v="62"/>
    <b v="0"/>
    <m/>
    <x v="0"/>
    <m/>
    <x v="0"/>
    <x v="0"/>
    <n v="21"/>
    <s v="Baixa responsividade nas etapas iniciais."/>
  </r>
  <r>
    <n v="401"/>
    <s v="Nathan Nogueira"/>
    <s v="emanuelly93@farias.br"/>
    <s v="REQ-1060"/>
    <x v="0"/>
    <s v="Data"/>
    <s v="Curitiba"/>
    <s v="Híbrido"/>
    <x v="0"/>
    <x v="52"/>
    <s v="Antônio"/>
    <x v="5"/>
    <x v="1"/>
    <x v="3"/>
    <d v="2025-03-23T00:00:00"/>
    <d v="2025-03-28T00:00:00"/>
    <b v="0"/>
    <m/>
    <b v="0"/>
    <m/>
    <b v="0"/>
    <m/>
    <b v="0"/>
    <m/>
    <n v="83"/>
    <n v="63"/>
    <n v="73"/>
    <b v="0"/>
    <m/>
    <x v="0"/>
    <m/>
    <x v="2"/>
    <x v="1"/>
    <n v="5"/>
    <s v="Pontos fortes em execução e autonomia."/>
  </r>
  <r>
    <n v="402"/>
    <s v="Sr. Noah Fernandes"/>
    <s v="stella22@hotmail.com"/>
    <s v="REQ-1049"/>
    <x v="0"/>
    <s v="Tech"/>
    <s v="Campinas"/>
    <s v="Híbrido"/>
    <x v="2"/>
    <x v="17"/>
    <s v="Ana Laura"/>
    <x v="0"/>
    <x v="5"/>
    <x v="3"/>
    <d v="2025-03-17T00:00:00"/>
    <d v="2025-03-25T00:00:00"/>
    <b v="1"/>
    <n v="3"/>
    <b v="1"/>
    <d v="2025-04-04T00:00:00"/>
    <b v="1"/>
    <d v="2025-04-07T00:00:00"/>
    <b v="0"/>
    <m/>
    <n v="76"/>
    <n v="70"/>
    <n v="80"/>
    <b v="0"/>
    <m/>
    <x v="0"/>
    <m/>
    <x v="3"/>
    <x v="0"/>
    <n v="21"/>
    <s v="Bom potencial de evolução."/>
  </r>
  <r>
    <n v="403"/>
    <s v="João Guilherme Porto"/>
    <s v="thales34@fogaca.br"/>
    <s v="REQ-1016"/>
    <x v="2"/>
    <s v="People"/>
    <s v="Remote"/>
    <s v="Híbrido"/>
    <x v="3"/>
    <x v="91"/>
    <s v="Alexandre"/>
    <x v="4"/>
    <x v="4"/>
    <x v="1"/>
    <d v="2025-03-23T00:00:00"/>
    <d v="2025-03-23T00:00:00"/>
    <b v="0"/>
    <m/>
    <b v="0"/>
    <m/>
    <b v="0"/>
    <m/>
    <b v="0"/>
    <m/>
    <n v="73"/>
    <n v="84"/>
    <n v="77"/>
    <b v="0"/>
    <m/>
    <x v="0"/>
    <m/>
    <x v="2"/>
    <x v="1"/>
    <n v="0"/>
    <s v="Perfil técnico acima da média."/>
  </r>
  <r>
    <n v="404"/>
    <s v="Dr. Vicente Gomes"/>
    <s v="stellaoliveira@rodrigues.com"/>
    <s v="REQ-1038"/>
    <x v="3"/>
    <s v="Data"/>
    <s v="São Paulo"/>
    <s v="Presencial"/>
    <x v="1"/>
    <x v="8"/>
    <s v="Isabel"/>
    <x v="4"/>
    <x v="0"/>
    <x v="2"/>
    <d v="2025-04-09T00:00:00"/>
    <d v="2025-04-13T00:00:00"/>
    <b v="1"/>
    <n v="10"/>
    <b v="0"/>
    <m/>
    <b v="0"/>
    <m/>
    <b v="0"/>
    <m/>
    <n v="90"/>
    <n v="85"/>
    <n v="81"/>
    <b v="0"/>
    <m/>
    <x v="0"/>
    <m/>
    <x v="1"/>
    <x v="6"/>
    <n v="4"/>
    <s v="Experiência sólida, mas expectativa salarial alta."/>
  </r>
  <r>
    <n v="405"/>
    <s v="Marcelo da Costa"/>
    <s v="melissapereira@costa.br"/>
    <s v="REQ-1060"/>
    <x v="0"/>
    <s v="Tech"/>
    <s v="Campinas"/>
    <s v="Híbrido"/>
    <x v="0"/>
    <x v="68"/>
    <s v="Caio"/>
    <x v="1"/>
    <x v="1"/>
    <x v="3"/>
    <d v="2025-02-03T00:00:00"/>
    <d v="2025-02-04T00:00:00"/>
    <b v="1"/>
    <n v="10"/>
    <b v="1"/>
    <d v="2025-02-09T00:00:00"/>
    <b v="1"/>
    <d v="2025-02-11T00:00:00"/>
    <b v="1"/>
    <d v="2025-02-13T00:00:00"/>
    <n v="79"/>
    <n v="85"/>
    <n v="82"/>
    <b v="1"/>
    <d v="2025-02-16T00:00:00"/>
    <x v="0"/>
    <m/>
    <x v="6"/>
    <x v="0"/>
    <n v="13"/>
    <s v="Baixa responsividade nas etapas iniciais."/>
  </r>
  <r>
    <n v="406"/>
    <s v="Lorena Nunes"/>
    <s v="moraeslucas-gabriel@gmail.com"/>
    <s v="REQ-1014"/>
    <x v="0"/>
    <s v="People"/>
    <s v="Campinas"/>
    <s v="Remoto"/>
    <x v="3"/>
    <x v="38"/>
    <s v="Pedro Henrique"/>
    <x v="3"/>
    <x v="1"/>
    <x v="0"/>
    <d v="2025-03-21T00:00:00"/>
    <d v="2025-03-22T00:00:00"/>
    <b v="0"/>
    <m/>
    <b v="0"/>
    <m/>
    <b v="0"/>
    <m/>
    <b v="0"/>
    <m/>
    <n v="71"/>
    <n v="79"/>
    <n v="99"/>
    <b v="0"/>
    <m/>
    <x v="0"/>
    <m/>
    <x v="2"/>
    <x v="1"/>
    <n v="1"/>
    <s v="Feedback positivo do gestor."/>
  </r>
  <r>
    <n v="407"/>
    <s v="Murilo Souza"/>
    <s v="marianeda-rosa@bol.com.br"/>
    <s v="REQ-1026"/>
    <x v="2"/>
    <s v="People"/>
    <s v="Campinas"/>
    <s v="Híbrido"/>
    <x v="1"/>
    <x v="84"/>
    <s v="Sofia"/>
    <x v="4"/>
    <x v="3"/>
    <x v="3"/>
    <d v="2025-04-25T00:00:00"/>
    <d v="2025-05-01T00:00:00"/>
    <b v="0"/>
    <m/>
    <b v="0"/>
    <m/>
    <b v="0"/>
    <m/>
    <b v="0"/>
    <m/>
    <n v="94"/>
    <n v="59"/>
    <n v="73"/>
    <b v="0"/>
    <m/>
    <x v="0"/>
    <m/>
    <x v="2"/>
    <x v="1"/>
    <n v="6"/>
    <s v="Bom potencial de evolução."/>
  </r>
  <r>
    <n v="408"/>
    <s v="Sr. Arthur Oliveira"/>
    <s v="ulopes@ramos.br"/>
    <s v="REQ-1060"/>
    <x v="2"/>
    <s v="Operations"/>
    <s v="Belo Horizonte"/>
    <s v="Híbrido"/>
    <x v="0"/>
    <x v="63"/>
    <s v="Nicolas"/>
    <x v="5"/>
    <x v="5"/>
    <x v="2"/>
    <d v="2025-03-20T00:00:00"/>
    <d v="2025-03-24T00:00:00"/>
    <b v="1"/>
    <n v="0"/>
    <b v="1"/>
    <d v="2025-04-03T00:00:00"/>
    <b v="1"/>
    <d v="2025-04-17T00:00:00"/>
    <b v="1"/>
    <d v="2025-04-22T00:00:00"/>
    <n v="89"/>
    <n v="100"/>
    <n v="95"/>
    <b v="0"/>
    <m/>
    <x v="0"/>
    <m/>
    <x v="0"/>
    <x v="8"/>
    <n v="33"/>
    <s v="Experiência sólida, mas expectativa salarial alta."/>
  </r>
  <r>
    <n v="409"/>
    <s v="Isis Dias"/>
    <s v="lucca80@ig.com.br"/>
    <s v="REQ-1027"/>
    <x v="1"/>
    <s v="Data"/>
    <s v="Campinas"/>
    <s v="Presencial"/>
    <x v="0"/>
    <x v="78"/>
    <s v="Alana"/>
    <x v="4"/>
    <x v="2"/>
    <x v="3"/>
    <d v="2025-04-25T00:00:00"/>
    <d v="2025-04-27T00:00:00"/>
    <b v="1"/>
    <n v="8"/>
    <b v="0"/>
    <m/>
    <b v="0"/>
    <m/>
    <b v="0"/>
    <m/>
    <n v="95"/>
    <n v="72"/>
    <n v="100"/>
    <b v="0"/>
    <m/>
    <x v="0"/>
    <m/>
    <x v="1"/>
    <x v="6"/>
    <n v="2"/>
    <s v="Apresentou aderência forte ao contexto da vaga."/>
  </r>
  <r>
    <n v="410"/>
    <s v="Mariane Fogaça"/>
    <s v="vitor-hugo39@gmail.com"/>
    <s v="REQ-1029"/>
    <x v="0"/>
    <s v="Operations"/>
    <s v="Belo Horizonte"/>
    <s v="Híbrido"/>
    <x v="0"/>
    <x v="78"/>
    <s v="Ana Clara"/>
    <x v="3"/>
    <x v="5"/>
    <x v="3"/>
    <d v="2025-03-06T00:00:00"/>
    <d v="2025-03-07T00:00:00"/>
    <b v="1"/>
    <n v="8"/>
    <b v="0"/>
    <m/>
    <b v="0"/>
    <m/>
    <b v="0"/>
    <m/>
    <n v="96"/>
    <n v="72"/>
    <n v="75"/>
    <b v="0"/>
    <m/>
    <x v="0"/>
    <m/>
    <x v="1"/>
    <x v="0"/>
    <n v="1"/>
    <s v="Demonstrou interesse claro na oportunidade."/>
  </r>
  <r>
    <n v="411"/>
    <s v="Laís Souza"/>
    <s v="da-luzarthur@farias.com"/>
    <s v="REQ-1042"/>
    <x v="0"/>
    <s v="People"/>
    <s v="São Paulo"/>
    <s v="Remoto"/>
    <x v="1"/>
    <x v="61"/>
    <s v="Bruno"/>
    <x v="3"/>
    <x v="7"/>
    <x v="3"/>
    <d v="2025-03-04T00:00:00"/>
    <d v="2025-03-08T00:00:00"/>
    <b v="1"/>
    <n v="10"/>
    <b v="0"/>
    <m/>
    <b v="0"/>
    <m/>
    <b v="0"/>
    <m/>
    <n v="72"/>
    <n v="63"/>
    <n v="70"/>
    <b v="0"/>
    <m/>
    <x v="0"/>
    <m/>
    <x v="1"/>
    <x v="0"/>
    <n v="4"/>
    <s v="Pediu prazo adicional para retorno."/>
  </r>
  <r>
    <n v="412"/>
    <s v="Gabriel Nogueira"/>
    <s v="livia09@peixoto.com"/>
    <s v="REQ-1085"/>
    <x v="2"/>
    <s v="Operations"/>
    <s v="Rio de Janeiro"/>
    <s v="Remoto"/>
    <x v="2"/>
    <x v="71"/>
    <s v="Alice"/>
    <x v="2"/>
    <x v="4"/>
    <x v="1"/>
    <d v="2025-01-12T00:00:00"/>
    <d v="2025-01-12T00:00:00"/>
    <b v="1"/>
    <n v="7"/>
    <b v="1"/>
    <d v="2025-01-18T00:00:00"/>
    <b v="1"/>
    <d v="2025-01-26T00:00:00"/>
    <b v="1"/>
    <d v="2025-02-01T00:00:00"/>
    <n v="49"/>
    <n v="75"/>
    <n v="67"/>
    <b v="0"/>
    <m/>
    <x v="0"/>
    <m/>
    <x v="0"/>
    <x v="0"/>
    <n v="20"/>
    <s v="Experiência sólida, mas expectativa salarial alta."/>
  </r>
  <r>
    <n v="413"/>
    <s v="Srta. Maitê Cardoso"/>
    <s v="francisco82@gmail.com"/>
    <s v="REQ-1098"/>
    <x v="3"/>
    <s v="Tech"/>
    <s v="Belo Horizonte"/>
    <s v="Remoto"/>
    <x v="1"/>
    <x v="85"/>
    <s v="Gabriel"/>
    <x v="1"/>
    <x v="0"/>
    <x v="2"/>
    <d v="2025-03-17T00:00:00"/>
    <d v="2025-03-18T00:00:00"/>
    <b v="0"/>
    <m/>
    <b v="0"/>
    <m/>
    <b v="0"/>
    <m/>
    <b v="0"/>
    <m/>
    <n v="78"/>
    <n v="63"/>
    <n v="67"/>
    <b v="0"/>
    <m/>
    <x v="0"/>
    <m/>
    <x v="2"/>
    <x v="1"/>
    <n v="1"/>
    <s v="Experiência sólida, mas expectativa salarial alta."/>
  </r>
  <r>
    <n v="414"/>
    <s v="Otávio da Costa"/>
    <s v="da-conceicaobianca@barbosa.org"/>
    <s v="REQ-1071"/>
    <x v="2"/>
    <s v="Operations"/>
    <s v="Belo Horizonte"/>
    <s v="Remoto"/>
    <x v="0"/>
    <x v="65"/>
    <s v="Larissa"/>
    <x v="5"/>
    <x v="2"/>
    <x v="2"/>
    <d v="2025-02-19T00:00:00"/>
    <d v="2025-03-01T00:00:00"/>
    <b v="1"/>
    <n v="1"/>
    <b v="0"/>
    <m/>
    <b v="0"/>
    <m/>
    <b v="0"/>
    <m/>
    <n v="69"/>
    <n v="77"/>
    <n v="76"/>
    <b v="0"/>
    <m/>
    <x v="0"/>
    <m/>
    <x v="1"/>
    <x v="0"/>
    <n v="10"/>
    <s v="Perfil técnico acima da média."/>
  </r>
  <r>
    <n v="415"/>
    <s v="Carlos Eduardo Cunha"/>
    <s v="gustavo-henriquecorreia@nunes.net"/>
    <s v="REQ-1033"/>
    <x v="2"/>
    <s v="Data"/>
    <s v="Remote"/>
    <s v="Presencial"/>
    <x v="2"/>
    <x v="1"/>
    <s v="Clarice"/>
    <x v="0"/>
    <x v="1"/>
    <x v="3"/>
    <d v="2025-03-12T00:00:00"/>
    <d v="2025-03-15T00:00:00"/>
    <b v="1"/>
    <n v="4"/>
    <b v="1"/>
    <d v="2025-03-19T00:00:00"/>
    <b v="0"/>
    <m/>
    <b v="0"/>
    <m/>
    <n v="82"/>
    <n v="76"/>
    <n v="80"/>
    <b v="0"/>
    <m/>
    <x v="0"/>
    <m/>
    <x v="5"/>
    <x v="4"/>
    <n v="7"/>
    <s v="Bom potencial de evolução."/>
  </r>
  <r>
    <n v="416"/>
    <s v="Davi Lucas da Luz"/>
    <s v="vrocha@hotmail.com"/>
    <s v="REQ-1025"/>
    <x v="3"/>
    <s v="Data"/>
    <s v="Remote"/>
    <s v="Remoto"/>
    <x v="1"/>
    <x v="52"/>
    <s v="Augusto"/>
    <x v="3"/>
    <x v="3"/>
    <x v="2"/>
    <d v="2025-05-09T00:00:00"/>
    <d v="2025-05-09T00:00:00"/>
    <b v="1"/>
    <n v="3"/>
    <b v="1"/>
    <d v="2025-05-16T00:00:00"/>
    <b v="0"/>
    <m/>
    <b v="0"/>
    <m/>
    <n v="92"/>
    <n v="68"/>
    <n v="71"/>
    <b v="0"/>
    <m/>
    <x v="0"/>
    <m/>
    <x v="5"/>
    <x v="9"/>
    <n v="7"/>
    <s v="Feedback positivo do gestor."/>
  </r>
  <r>
    <n v="417"/>
    <s v="Julia da Cruz"/>
    <s v="yuri24@hotmail.com"/>
    <s v="REQ-1069"/>
    <x v="3"/>
    <s v="Tech"/>
    <s v="Campinas"/>
    <s v="Remoto"/>
    <x v="1"/>
    <x v="80"/>
    <s v="Isabelly"/>
    <x v="5"/>
    <x v="1"/>
    <x v="2"/>
    <d v="2025-04-03T00:00:00"/>
    <d v="2025-04-07T00:00:00"/>
    <b v="0"/>
    <m/>
    <b v="0"/>
    <m/>
    <b v="0"/>
    <m/>
    <b v="0"/>
    <m/>
    <n v="78"/>
    <n v="77"/>
    <n v="83"/>
    <b v="0"/>
    <m/>
    <x v="0"/>
    <m/>
    <x v="2"/>
    <x v="1"/>
    <n v="4"/>
    <s v="Baixa responsividade nas etapas iniciais."/>
  </r>
  <r>
    <n v="418"/>
    <s v="Juliana Fernandes"/>
    <s v="cauamonteiro@aragao.br"/>
    <s v="REQ-1093"/>
    <x v="3"/>
    <s v="Data"/>
    <s v="Curitiba"/>
    <s v="Remoto"/>
    <x v="1"/>
    <x v="101"/>
    <s v="Daniel"/>
    <x v="4"/>
    <x v="7"/>
    <x v="0"/>
    <d v="2025-02-03T00:00:00"/>
    <d v="2025-02-04T00:00:00"/>
    <b v="0"/>
    <m/>
    <b v="0"/>
    <m/>
    <b v="0"/>
    <m/>
    <b v="0"/>
    <m/>
    <n v="80"/>
    <n v="53"/>
    <n v="61"/>
    <b v="0"/>
    <m/>
    <x v="0"/>
    <m/>
    <x v="2"/>
    <x v="1"/>
    <n v="1"/>
    <s v="Bom potencial de evolução."/>
  </r>
  <r>
    <n v="419"/>
    <s v="Sr. Vinicius Araújo"/>
    <s v="almeidaalexia@hotmail.com"/>
    <s v="REQ-1006"/>
    <x v="2"/>
    <s v="People"/>
    <s v="Campinas"/>
    <s v="Remoto"/>
    <x v="3"/>
    <x v="95"/>
    <s v="Sarah"/>
    <x v="5"/>
    <x v="1"/>
    <x v="3"/>
    <d v="2025-02-21T00:00:00"/>
    <d v="2025-02-21T00:00:00"/>
    <b v="1"/>
    <n v="7"/>
    <b v="1"/>
    <d v="2025-02-23T00:00:00"/>
    <b v="1"/>
    <d v="2025-02-25T00:00:00"/>
    <b v="1"/>
    <d v="2025-03-01T00:00:00"/>
    <n v="82"/>
    <n v="66"/>
    <n v="84"/>
    <b v="0"/>
    <m/>
    <x v="0"/>
    <m/>
    <x v="0"/>
    <x v="0"/>
    <n v="8"/>
    <s v="Baixa responsividade nas etapas iniciais."/>
  </r>
  <r>
    <n v="420"/>
    <s v="Maria Eduarda Novaes"/>
    <s v="paulo25@souza.com"/>
    <s v="REQ-1023"/>
    <x v="2"/>
    <s v="Tech"/>
    <s v="Remote"/>
    <s v="Presencial"/>
    <x v="1"/>
    <x v="59"/>
    <s v="Theo"/>
    <x v="5"/>
    <x v="3"/>
    <x v="0"/>
    <d v="2025-03-30T00:00:00"/>
    <d v="2025-03-30T00:00:00"/>
    <b v="1"/>
    <n v="10"/>
    <b v="1"/>
    <d v="2025-04-03T00:00:00"/>
    <b v="1"/>
    <d v="2025-04-07T00:00:00"/>
    <b v="0"/>
    <m/>
    <n v="78"/>
    <n v="91"/>
    <n v="86"/>
    <b v="0"/>
    <m/>
    <x v="0"/>
    <m/>
    <x v="3"/>
    <x v="0"/>
    <n v="8"/>
    <s v="Pontos fortes em execução e autonomia."/>
  </r>
  <r>
    <n v="421"/>
    <s v="Alice Fernandes"/>
    <s v="sda-mata@porto.com"/>
    <s v="REQ-1029"/>
    <x v="3"/>
    <s v="Data"/>
    <s v="Campinas"/>
    <s v="Híbrido"/>
    <x v="2"/>
    <x v="62"/>
    <s v="Isabelly"/>
    <x v="5"/>
    <x v="2"/>
    <x v="3"/>
    <d v="2025-03-29T00:00:00"/>
    <d v="2025-03-29T00:00:00"/>
    <b v="1"/>
    <n v="6"/>
    <b v="0"/>
    <m/>
    <b v="0"/>
    <m/>
    <b v="0"/>
    <m/>
    <n v="62"/>
    <n v="65"/>
    <n v="62"/>
    <b v="0"/>
    <m/>
    <x v="0"/>
    <m/>
    <x v="1"/>
    <x v="0"/>
    <n v="0"/>
    <s v="Pontos fortes em execução e autonomia."/>
  </r>
  <r>
    <n v="422"/>
    <s v="Sr. Kevin Cavalcanti"/>
    <s v="costajoao-vitor@ferreira.com"/>
    <s v="REQ-1056"/>
    <x v="2"/>
    <s v="People"/>
    <s v="Campinas"/>
    <s v="Presencial"/>
    <x v="3"/>
    <x v="44"/>
    <s v="Luigi"/>
    <x v="5"/>
    <x v="3"/>
    <x v="1"/>
    <d v="2025-05-25T00:00:00"/>
    <d v="2025-05-25T00:00:00"/>
    <b v="1"/>
    <n v="3"/>
    <b v="1"/>
    <d v="2025-05-29T00:00:00"/>
    <b v="0"/>
    <m/>
    <b v="0"/>
    <m/>
    <n v="86"/>
    <n v="83"/>
    <n v="86"/>
    <b v="0"/>
    <m/>
    <x v="0"/>
    <m/>
    <x v="5"/>
    <x v="4"/>
    <n v="4"/>
    <s v="Bom potencial de evolução."/>
  </r>
  <r>
    <n v="423"/>
    <s v="Isaac Vieira"/>
    <s v="liviaoliveira@fogaca.com"/>
    <s v="REQ-1078"/>
    <x v="2"/>
    <s v="People"/>
    <s v="São Paulo"/>
    <s v="Remoto"/>
    <x v="1"/>
    <x v="52"/>
    <s v="Lorena"/>
    <x v="0"/>
    <x v="5"/>
    <x v="2"/>
    <d v="2025-03-04T00:00:00"/>
    <d v="2025-03-10T00:00:00"/>
    <b v="1"/>
    <n v="9"/>
    <b v="1"/>
    <d v="2025-03-12T00:00:00"/>
    <b v="0"/>
    <m/>
    <b v="0"/>
    <m/>
    <n v="54"/>
    <n v="85"/>
    <n v="71"/>
    <b v="0"/>
    <m/>
    <x v="0"/>
    <m/>
    <x v="5"/>
    <x v="3"/>
    <n v="8"/>
    <s v="Apresentou aderência forte ao contexto da vaga."/>
  </r>
  <r>
    <n v="424"/>
    <s v="Manuela Silva"/>
    <s v="correialuana@farias.br"/>
    <s v="REQ-1070"/>
    <x v="2"/>
    <s v="Operations"/>
    <s v="Rio de Janeiro"/>
    <s v="Remoto"/>
    <x v="0"/>
    <x v="95"/>
    <s v="Emanuelly"/>
    <x v="1"/>
    <x v="1"/>
    <x v="1"/>
    <d v="2025-02-02T00:00:00"/>
    <d v="2025-02-02T00:00:00"/>
    <b v="1"/>
    <n v="3"/>
    <b v="1"/>
    <d v="2025-02-08T00:00:00"/>
    <b v="1"/>
    <d v="2025-02-17T00:00:00"/>
    <b v="1"/>
    <d v="2025-02-21T00:00:00"/>
    <n v="78"/>
    <n v="77"/>
    <n v="74"/>
    <b v="0"/>
    <m/>
    <x v="0"/>
    <m/>
    <x v="0"/>
    <x v="2"/>
    <n v="19"/>
    <s v="Feedback positivo do gestor."/>
  </r>
  <r>
    <n v="425"/>
    <s v="Enrico Cardoso"/>
    <s v="ana-luiza39@ig.com.br"/>
    <s v="REQ-1042"/>
    <x v="3"/>
    <s v="People"/>
    <s v="Curitiba"/>
    <s v="Presencial"/>
    <x v="0"/>
    <x v="63"/>
    <s v="Murilo"/>
    <x v="1"/>
    <x v="0"/>
    <x v="1"/>
    <d v="2025-04-08T00:00:00"/>
    <d v="2025-04-11T00:00:00"/>
    <b v="1"/>
    <n v="6"/>
    <b v="0"/>
    <m/>
    <b v="0"/>
    <m/>
    <b v="0"/>
    <m/>
    <n v="61"/>
    <n v="65"/>
    <n v="61"/>
    <b v="0"/>
    <m/>
    <x v="0"/>
    <m/>
    <x v="1"/>
    <x v="2"/>
    <n v="3"/>
    <s v="Bom potencial de evolução."/>
  </r>
  <r>
    <n v="426"/>
    <s v="Samuel Ribeiro"/>
    <s v="emillycavalcanti@hotmail.com"/>
    <s v="REQ-1026"/>
    <x v="3"/>
    <s v="Operations"/>
    <s v="Remote"/>
    <s v="Remoto"/>
    <x v="0"/>
    <x v="9"/>
    <s v="Carlos Eduardo"/>
    <x v="4"/>
    <x v="5"/>
    <x v="0"/>
    <d v="2025-03-21T00:00:00"/>
    <d v="2025-03-21T00:00:00"/>
    <b v="0"/>
    <m/>
    <b v="0"/>
    <m/>
    <b v="0"/>
    <m/>
    <b v="0"/>
    <m/>
    <n v="100"/>
    <n v="67"/>
    <n v="86"/>
    <b v="0"/>
    <m/>
    <x v="0"/>
    <m/>
    <x v="2"/>
    <x v="1"/>
    <n v="0"/>
    <s v="Feedback positivo do gestor."/>
  </r>
  <r>
    <n v="427"/>
    <s v="Sra. Stella Ribeiro"/>
    <s v="camposgabrielly@azevedo.org"/>
    <s v="REQ-1006"/>
    <x v="1"/>
    <s v="People"/>
    <s v="Rio de Janeiro"/>
    <s v="Presencial"/>
    <x v="1"/>
    <x v="1"/>
    <s v="Marcela"/>
    <x v="4"/>
    <x v="7"/>
    <x v="1"/>
    <d v="2025-04-06T00:00:00"/>
    <d v="2025-04-13T00:00:00"/>
    <b v="1"/>
    <n v="0"/>
    <b v="1"/>
    <d v="2025-04-17T00:00:00"/>
    <b v="1"/>
    <d v="2025-05-01T00:00:00"/>
    <b v="0"/>
    <m/>
    <n v="64"/>
    <n v="71"/>
    <n v="43"/>
    <b v="0"/>
    <m/>
    <x v="0"/>
    <m/>
    <x v="3"/>
    <x v="6"/>
    <n v="25"/>
    <s v="Apresentou aderência forte ao contexto da vaga."/>
  </r>
  <r>
    <n v="428"/>
    <s v="Pietra Aragão"/>
    <s v="caua86@da.br"/>
    <s v="REQ-1046"/>
    <x v="2"/>
    <s v="People"/>
    <s v="Curitiba"/>
    <s v="Remoto"/>
    <x v="1"/>
    <x v="53"/>
    <s v="Gabriela"/>
    <x v="0"/>
    <x v="4"/>
    <x v="2"/>
    <d v="2025-04-27T00:00:00"/>
    <d v="2025-05-02T00:00:00"/>
    <b v="0"/>
    <m/>
    <b v="0"/>
    <m/>
    <b v="0"/>
    <m/>
    <b v="0"/>
    <m/>
    <n v="74"/>
    <n v="76"/>
    <n v="88"/>
    <b v="0"/>
    <m/>
    <x v="0"/>
    <m/>
    <x v="2"/>
    <x v="1"/>
    <n v="5"/>
    <s v="Demonstrou interesse claro na oportunidade."/>
  </r>
  <r>
    <n v="429"/>
    <s v="Eduardo Ribeiro"/>
    <s v="monteiromaria-clara@gmail.com"/>
    <s v="REQ-1086"/>
    <x v="3"/>
    <s v="People"/>
    <s v="Remote"/>
    <s v="Remoto"/>
    <x v="0"/>
    <x v="46"/>
    <s v="Davi Lucca"/>
    <x v="5"/>
    <x v="5"/>
    <x v="3"/>
    <d v="2025-05-27T00:00:00"/>
    <d v="2025-06-01T00:00:00"/>
    <b v="1"/>
    <n v="3"/>
    <b v="1"/>
    <d v="2025-06-08T00:00:00"/>
    <b v="0"/>
    <m/>
    <b v="0"/>
    <m/>
    <n v="85"/>
    <n v="88"/>
    <n v="88"/>
    <b v="0"/>
    <m/>
    <x v="0"/>
    <m/>
    <x v="5"/>
    <x v="4"/>
    <n v="12"/>
    <s v="Boa comunicação e resposta rápida."/>
  </r>
  <r>
    <n v="430"/>
    <s v="Kaique Gonçalves"/>
    <s v="santosdiego@yahoo.com.br"/>
    <s v="REQ-1061"/>
    <x v="2"/>
    <s v="People"/>
    <s v="São Paulo"/>
    <s v="Remoto"/>
    <x v="2"/>
    <x v="30"/>
    <s v="Leandro"/>
    <x v="5"/>
    <x v="4"/>
    <x v="1"/>
    <d v="2025-03-22T00:00:00"/>
    <d v="2025-03-26T00:00:00"/>
    <b v="1"/>
    <n v="0"/>
    <b v="1"/>
    <d v="2025-03-28T00:00:00"/>
    <b v="1"/>
    <d v="2025-04-03T00:00:00"/>
    <b v="1"/>
    <d v="2025-04-04T00:00:00"/>
    <n v="57"/>
    <n v="84"/>
    <n v="62"/>
    <b v="0"/>
    <m/>
    <x v="0"/>
    <m/>
    <x v="0"/>
    <x v="6"/>
    <n v="13"/>
    <s v="Baixa responsividade nas etapas iniciais."/>
  </r>
  <r>
    <n v="431"/>
    <s v="Clarice Novaes"/>
    <s v="fferreira@bol.com.br"/>
    <s v="REQ-1019"/>
    <x v="3"/>
    <s v="Data"/>
    <s v="Curitiba"/>
    <s v="Presencial"/>
    <x v="1"/>
    <x v="59"/>
    <s v="Luiz Otávio"/>
    <x v="1"/>
    <x v="1"/>
    <x v="0"/>
    <d v="2025-03-28T00:00:00"/>
    <d v="2025-03-28T00:00:00"/>
    <b v="0"/>
    <m/>
    <b v="0"/>
    <m/>
    <b v="0"/>
    <m/>
    <b v="0"/>
    <m/>
    <n v="83"/>
    <n v="75"/>
    <n v="87"/>
    <b v="0"/>
    <m/>
    <x v="0"/>
    <m/>
    <x v="2"/>
    <x v="1"/>
    <n v="0"/>
    <s v="Demonstrou interesse claro na oportunidade."/>
  </r>
  <r>
    <n v="432"/>
    <s v="Sra. Gabrielly Nunes"/>
    <s v="icastro@hotmail.com"/>
    <s v="REQ-1061"/>
    <x v="2"/>
    <s v="Operations"/>
    <s v="Belo Horizonte"/>
    <s v="Híbrido"/>
    <x v="0"/>
    <x v="64"/>
    <s v="Maria Clara"/>
    <x v="2"/>
    <x v="5"/>
    <x v="1"/>
    <d v="2025-03-03T00:00:00"/>
    <d v="2025-03-07T00:00:00"/>
    <b v="1"/>
    <n v="8"/>
    <b v="1"/>
    <d v="2025-03-08T00:00:00"/>
    <b v="1"/>
    <d v="2025-03-18T00:00:00"/>
    <b v="1"/>
    <d v="2025-03-21T00:00:00"/>
    <n v="66"/>
    <n v="66"/>
    <n v="75"/>
    <b v="0"/>
    <m/>
    <x v="0"/>
    <m/>
    <x v="0"/>
    <x v="4"/>
    <n v="18"/>
    <s v="Baixa responsividade nas etapas iniciais."/>
  </r>
  <r>
    <n v="433"/>
    <s v="Ana Sophia Monteiro"/>
    <s v="livia55@santos.br"/>
    <s v="REQ-1071"/>
    <x v="0"/>
    <s v="Operations"/>
    <s v="Curitiba"/>
    <s v="Híbrido"/>
    <x v="1"/>
    <x v="56"/>
    <s v="André"/>
    <x v="5"/>
    <x v="0"/>
    <x v="0"/>
    <d v="2025-04-10T00:00:00"/>
    <d v="2025-04-22T00:00:00"/>
    <b v="0"/>
    <m/>
    <b v="0"/>
    <m/>
    <b v="0"/>
    <m/>
    <b v="0"/>
    <m/>
    <n v="85"/>
    <n v="67"/>
    <n v="69"/>
    <b v="0"/>
    <m/>
    <x v="0"/>
    <m/>
    <x v="2"/>
    <x v="1"/>
    <n v="12"/>
    <s v="Pediu prazo adicional para retorno."/>
  </r>
  <r>
    <n v="434"/>
    <s v="Ana Lívia Ramos"/>
    <s v="lorenacorreia@uol.com.br"/>
    <s v="REQ-1001"/>
    <x v="3"/>
    <s v="Operations"/>
    <s v="Campinas"/>
    <s v="Presencial"/>
    <x v="0"/>
    <x v="21"/>
    <s v="Fernando"/>
    <x v="4"/>
    <x v="1"/>
    <x v="3"/>
    <d v="2025-02-13T00:00:00"/>
    <d v="2025-02-16T00:00:00"/>
    <b v="1"/>
    <n v="0"/>
    <b v="1"/>
    <d v="2025-02-20T00:00:00"/>
    <b v="1"/>
    <d v="2025-03-04T00:00:00"/>
    <b v="1"/>
    <d v="2025-03-13T00:00:00"/>
    <n v="68"/>
    <n v="71"/>
    <n v="70"/>
    <b v="0"/>
    <m/>
    <x v="0"/>
    <m/>
    <x v="0"/>
    <x v="0"/>
    <n v="28"/>
    <s v="Bom potencial de evolução."/>
  </r>
  <r>
    <n v="435"/>
    <s v="Sr. Noah Silva"/>
    <s v="esther25@ramos.net"/>
    <s v="REQ-1066"/>
    <x v="1"/>
    <s v="Data"/>
    <s v="Rio de Janeiro"/>
    <s v="Presencial"/>
    <x v="0"/>
    <x v="0"/>
    <s v="Davi Lucas"/>
    <x v="5"/>
    <x v="0"/>
    <x v="1"/>
    <d v="2025-02-02T00:00:00"/>
    <d v="2025-02-05T00:00:00"/>
    <b v="0"/>
    <m/>
    <b v="0"/>
    <m/>
    <b v="0"/>
    <m/>
    <b v="0"/>
    <m/>
    <n v="81"/>
    <n v="87"/>
    <n v="81"/>
    <b v="0"/>
    <m/>
    <x v="0"/>
    <m/>
    <x v="2"/>
    <x v="1"/>
    <n v="3"/>
    <s v="Pediu prazo adicional para retorno."/>
  </r>
  <r>
    <n v="436"/>
    <s v="Dra. Bárbara Lopes"/>
    <s v="vitormoura@yahoo.com.br"/>
    <s v="REQ-1048"/>
    <x v="1"/>
    <s v="Tech"/>
    <s v="Curitiba"/>
    <s v="Híbrido"/>
    <x v="1"/>
    <x v="99"/>
    <s v="Erick"/>
    <x v="0"/>
    <x v="4"/>
    <x v="0"/>
    <d v="2025-05-06T00:00:00"/>
    <d v="2025-05-10T00:00:00"/>
    <b v="1"/>
    <n v="8"/>
    <b v="1"/>
    <d v="2025-05-18T00:00:00"/>
    <b v="1"/>
    <d v="2025-05-30T00:00:00"/>
    <b v="1"/>
    <d v="2025-06-03T00:00:00"/>
    <n v="70"/>
    <n v="55"/>
    <n v="60"/>
    <b v="0"/>
    <m/>
    <x v="0"/>
    <m/>
    <x v="0"/>
    <x v="7"/>
    <n v="28"/>
    <s v="Bom potencial de evolução."/>
  </r>
  <r>
    <n v="437"/>
    <s v="Calebe da Conceição"/>
    <s v="gustavo-henrique68@da.com"/>
    <s v="REQ-1064"/>
    <x v="3"/>
    <s v="Tech"/>
    <s v="Belo Horizonte"/>
    <s v="Remoto"/>
    <x v="0"/>
    <x v="47"/>
    <s v="Olivia"/>
    <x v="3"/>
    <x v="5"/>
    <x v="0"/>
    <d v="2025-01-14T00:00:00"/>
    <d v="2025-01-18T00:00:00"/>
    <b v="0"/>
    <m/>
    <b v="0"/>
    <m/>
    <b v="0"/>
    <m/>
    <b v="0"/>
    <m/>
    <n v="88"/>
    <n v="91"/>
    <n v="91"/>
    <b v="0"/>
    <m/>
    <x v="0"/>
    <m/>
    <x v="2"/>
    <x v="1"/>
    <n v="4"/>
    <s v="Pontos fortes em execução e autonomia."/>
  </r>
  <r>
    <n v="438"/>
    <s v="Ana Julia Vieira"/>
    <s v="cardosofernanda@silva.br"/>
    <s v="REQ-1022"/>
    <x v="0"/>
    <s v="Data"/>
    <s v="Rio de Janeiro"/>
    <s v="Híbrido"/>
    <x v="1"/>
    <x v="8"/>
    <s v="Helena"/>
    <x v="1"/>
    <x v="6"/>
    <x v="1"/>
    <d v="2025-03-16T00:00:00"/>
    <d v="2025-03-20T00:00:00"/>
    <b v="1"/>
    <n v="5"/>
    <b v="1"/>
    <d v="2025-03-30T00:00:00"/>
    <b v="0"/>
    <m/>
    <b v="0"/>
    <m/>
    <n v="86"/>
    <n v="64"/>
    <n v="56"/>
    <b v="0"/>
    <m/>
    <x v="0"/>
    <m/>
    <x v="5"/>
    <x v="4"/>
    <n v="14"/>
    <s v="Pontos fortes em execução e autonomia."/>
  </r>
  <r>
    <n v="439"/>
    <s v="Srta. Sarah Duarte"/>
    <s v="martinsnicolas@yahoo.com.br"/>
    <s v="REQ-1082"/>
    <x v="2"/>
    <s v="Tech"/>
    <s v="Campinas"/>
    <s v="Presencial"/>
    <x v="0"/>
    <x v="14"/>
    <s v="Davi Lucas"/>
    <x v="0"/>
    <x v="5"/>
    <x v="0"/>
    <d v="2025-05-29T00:00:00"/>
    <d v="2025-05-30T00:00:00"/>
    <b v="1"/>
    <n v="5"/>
    <b v="1"/>
    <d v="2025-06-05T00:00:00"/>
    <b v="1"/>
    <d v="2025-06-17T00:00:00"/>
    <b v="1"/>
    <d v="2025-06-24T00:00:00"/>
    <n v="75"/>
    <n v="87"/>
    <n v="78"/>
    <b v="1"/>
    <d v="2025-06-27T00:00:00"/>
    <x v="1"/>
    <d v="2025-07-02T00:00:00"/>
    <x v="4"/>
    <x v="0"/>
    <n v="34"/>
    <s v="Baixa responsividade nas etapas iniciais."/>
  </r>
  <r>
    <n v="440"/>
    <s v="Ana Beatriz Nascimento"/>
    <s v="cecilia83@hotmail.com"/>
    <s v="REQ-1066"/>
    <x v="2"/>
    <s v="Operations"/>
    <s v="Curitiba"/>
    <s v="Remoto"/>
    <x v="1"/>
    <x v="14"/>
    <s v="Luiz Fernando"/>
    <x v="4"/>
    <x v="4"/>
    <x v="2"/>
    <d v="2025-04-16T00:00:00"/>
    <d v="2025-04-17T00:00:00"/>
    <b v="1"/>
    <n v="9"/>
    <b v="0"/>
    <m/>
    <b v="0"/>
    <m/>
    <b v="0"/>
    <m/>
    <n v="60"/>
    <n v="84"/>
    <n v="75"/>
    <b v="0"/>
    <m/>
    <x v="0"/>
    <m/>
    <x v="1"/>
    <x v="0"/>
    <n v="1"/>
    <s v="Bom potencial de evolução."/>
  </r>
  <r>
    <n v="441"/>
    <s v="Letícia Nascimento"/>
    <s v="tpeixoto@uol.com.br"/>
    <s v="REQ-1017"/>
    <x v="2"/>
    <s v="Data"/>
    <s v="Campinas"/>
    <s v="Híbrido"/>
    <x v="2"/>
    <x v="29"/>
    <s v="Eduardo"/>
    <x v="3"/>
    <x v="1"/>
    <x v="1"/>
    <d v="2025-01-13T00:00:00"/>
    <d v="2025-01-13T00:00:00"/>
    <b v="1"/>
    <n v="8"/>
    <b v="1"/>
    <d v="2025-01-16T00:00:00"/>
    <b v="0"/>
    <m/>
    <b v="0"/>
    <m/>
    <n v="81"/>
    <n v="70"/>
    <n v="84"/>
    <b v="0"/>
    <m/>
    <x v="0"/>
    <m/>
    <x v="5"/>
    <x v="2"/>
    <n v="3"/>
    <s v="Pediu prazo adicional para retorno."/>
  </r>
  <r>
    <n v="442"/>
    <s v="Ana Luiza da Mata"/>
    <s v="alana49@cavalcanti.br"/>
    <s v="REQ-1049"/>
    <x v="0"/>
    <s v="Data"/>
    <s v="Rio de Janeiro"/>
    <s v="Remoto"/>
    <x v="3"/>
    <x v="114"/>
    <s v="Amanda"/>
    <x v="2"/>
    <x v="4"/>
    <x v="1"/>
    <d v="2025-03-27T00:00:00"/>
    <d v="2025-03-31T00:00:00"/>
    <b v="1"/>
    <n v="8"/>
    <b v="0"/>
    <m/>
    <b v="0"/>
    <m/>
    <b v="0"/>
    <m/>
    <n v="83"/>
    <n v="75"/>
    <n v="79"/>
    <b v="0"/>
    <m/>
    <x v="0"/>
    <m/>
    <x v="1"/>
    <x v="0"/>
    <n v="4"/>
    <s v="Feedback positivo do gestor."/>
  </r>
  <r>
    <n v="443"/>
    <s v="Maria Cecília Jesus"/>
    <s v="pintoryan@gmail.com"/>
    <s v="REQ-1031"/>
    <x v="1"/>
    <s v="Data"/>
    <s v="São Paulo"/>
    <s v="Presencial"/>
    <x v="1"/>
    <x v="28"/>
    <s v="Ana Lívia"/>
    <x v="5"/>
    <x v="6"/>
    <x v="3"/>
    <d v="2025-01-06T00:00:00"/>
    <d v="2025-01-06T00:00:00"/>
    <b v="1"/>
    <n v="7"/>
    <b v="1"/>
    <d v="2025-01-07T00:00:00"/>
    <b v="1"/>
    <d v="2025-01-16T00:00:00"/>
    <b v="1"/>
    <d v="2025-01-26T00:00:00"/>
    <n v="85"/>
    <n v="63"/>
    <n v="78"/>
    <b v="0"/>
    <m/>
    <x v="0"/>
    <m/>
    <x v="0"/>
    <x v="0"/>
    <n v="20"/>
    <s v="Pediu prazo adicional para retorno."/>
  </r>
  <r>
    <n v="444"/>
    <s v="Diego Peixoto"/>
    <s v="ribeiromatheus@barbosa.br"/>
    <s v="REQ-1096"/>
    <x v="1"/>
    <s v="Operations"/>
    <s v="São Paulo"/>
    <s v="Presencial"/>
    <x v="0"/>
    <x v="32"/>
    <s v="Gustavo"/>
    <x v="0"/>
    <x v="1"/>
    <x v="3"/>
    <d v="2025-01-30T00:00:00"/>
    <d v="2025-02-03T00:00:00"/>
    <b v="1"/>
    <n v="11"/>
    <b v="0"/>
    <m/>
    <b v="0"/>
    <m/>
    <b v="0"/>
    <m/>
    <n v="75"/>
    <n v="68"/>
    <n v="80"/>
    <b v="0"/>
    <m/>
    <x v="0"/>
    <m/>
    <x v="1"/>
    <x v="8"/>
    <n v="4"/>
    <s v="Feedback positivo do gestor."/>
  </r>
  <r>
    <n v="445"/>
    <s v="Gabrielly Azevedo"/>
    <s v="dviana@cunha.br"/>
    <s v="REQ-1068"/>
    <x v="3"/>
    <s v="Operations"/>
    <s v="Campinas"/>
    <s v="Presencial"/>
    <x v="1"/>
    <x v="50"/>
    <s v="Eduarda"/>
    <x v="5"/>
    <x v="0"/>
    <x v="0"/>
    <d v="2025-01-09T00:00:00"/>
    <d v="2025-01-09T00:00:00"/>
    <b v="0"/>
    <m/>
    <b v="0"/>
    <m/>
    <b v="0"/>
    <m/>
    <b v="0"/>
    <m/>
    <n v="55"/>
    <n v="72"/>
    <n v="68"/>
    <b v="0"/>
    <m/>
    <x v="0"/>
    <m/>
    <x v="2"/>
    <x v="1"/>
    <n v="0"/>
    <s v="Pontos fortes em execução e autonomia."/>
  </r>
  <r>
    <n v="446"/>
    <s v="Yasmin Costa"/>
    <s v="portoisabella@yahoo.com.br"/>
    <s v="REQ-1084"/>
    <x v="0"/>
    <s v="Tech"/>
    <s v="Belo Horizonte"/>
    <s v="Remoto"/>
    <x v="0"/>
    <x v="14"/>
    <s v="Fernanda"/>
    <x v="4"/>
    <x v="7"/>
    <x v="3"/>
    <d v="2025-05-15T00:00:00"/>
    <d v="2025-05-15T00:00:00"/>
    <b v="1"/>
    <n v="1"/>
    <b v="1"/>
    <d v="2025-05-25T00:00:00"/>
    <b v="0"/>
    <m/>
    <b v="0"/>
    <m/>
    <n v="67"/>
    <n v="85"/>
    <n v="70"/>
    <b v="0"/>
    <m/>
    <x v="0"/>
    <m/>
    <x v="5"/>
    <x v="0"/>
    <n v="10"/>
    <s v="Demonstrou interesse claro na oportunidade."/>
  </r>
  <r>
    <n v="447"/>
    <s v="Srta. Mirella Rocha"/>
    <s v="miguel52@costela.com"/>
    <s v="REQ-1042"/>
    <x v="2"/>
    <s v="Operations"/>
    <s v="Curitiba"/>
    <s v="Híbrido"/>
    <x v="1"/>
    <x v="27"/>
    <s v="Samuel"/>
    <x v="2"/>
    <x v="5"/>
    <x v="2"/>
    <d v="2025-01-08T00:00:00"/>
    <d v="2025-01-13T00:00:00"/>
    <b v="1"/>
    <n v="5"/>
    <b v="1"/>
    <d v="2025-01-15T00:00:00"/>
    <b v="0"/>
    <m/>
    <b v="0"/>
    <m/>
    <n v="74"/>
    <n v="75"/>
    <n v="65"/>
    <b v="0"/>
    <m/>
    <x v="0"/>
    <m/>
    <x v="5"/>
    <x v="5"/>
    <n v="7"/>
    <s v="Bom potencial de evolução."/>
  </r>
  <r>
    <n v="448"/>
    <s v="João Felipe Gonçalves"/>
    <s v="ecavalcanti@gmail.com"/>
    <s v="REQ-1032"/>
    <x v="0"/>
    <s v="Data"/>
    <s v="Campinas"/>
    <s v="Presencial"/>
    <x v="1"/>
    <x v="28"/>
    <s v="Laís"/>
    <x v="3"/>
    <x v="1"/>
    <x v="3"/>
    <d v="2025-03-09T00:00:00"/>
    <d v="2025-03-09T00:00:00"/>
    <b v="0"/>
    <m/>
    <b v="0"/>
    <m/>
    <b v="0"/>
    <m/>
    <b v="0"/>
    <m/>
    <n v="68"/>
    <n v="74"/>
    <n v="56"/>
    <b v="0"/>
    <m/>
    <x v="0"/>
    <m/>
    <x v="2"/>
    <x v="1"/>
    <n v="0"/>
    <s v="Demonstrou interesse claro na oportunidade."/>
  </r>
  <r>
    <n v="449"/>
    <s v="Vitor Hugo Martins"/>
    <s v="joanaramos@bol.com.br"/>
    <s v="REQ-1066"/>
    <x v="3"/>
    <s v="Tech"/>
    <s v="São Paulo"/>
    <s v="Remoto"/>
    <x v="2"/>
    <x v="115"/>
    <s v="Theo"/>
    <x v="1"/>
    <x v="6"/>
    <x v="0"/>
    <d v="2025-01-23T00:00:00"/>
    <d v="2025-01-23T00:00:00"/>
    <b v="1"/>
    <n v="4"/>
    <b v="1"/>
    <d v="2025-01-24T00:00:00"/>
    <b v="1"/>
    <d v="2025-02-07T00:00:00"/>
    <b v="1"/>
    <d v="2025-02-12T00:00:00"/>
    <n v="61"/>
    <n v="60"/>
    <n v="50"/>
    <b v="0"/>
    <m/>
    <x v="0"/>
    <m/>
    <x v="0"/>
    <x v="0"/>
    <n v="20"/>
    <s v="Apresentou aderência forte ao contexto da vaga."/>
  </r>
  <r>
    <n v="450"/>
    <s v="Emanuella Costa"/>
    <s v="aragaocaio@mendes.org"/>
    <s v="REQ-1076"/>
    <x v="1"/>
    <s v="People"/>
    <s v="Rio de Janeiro"/>
    <s v="Presencial"/>
    <x v="2"/>
    <x v="23"/>
    <s v="João Lucas"/>
    <x v="4"/>
    <x v="2"/>
    <x v="3"/>
    <d v="2025-01-18T00:00:00"/>
    <d v="2025-01-18T00:00:00"/>
    <b v="1"/>
    <n v="0"/>
    <b v="1"/>
    <d v="2025-01-21T00:00:00"/>
    <b v="0"/>
    <m/>
    <b v="0"/>
    <m/>
    <n v="62"/>
    <n v="63"/>
    <n v="64"/>
    <b v="0"/>
    <m/>
    <x v="0"/>
    <m/>
    <x v="5"/>
    <x v="0"/>
    <n v="3"/>
    <s v="Experiência sólida, mas expectativa salarial alta."/>
  </r>
  <r>
    <n v="451"/>
    <s v="Valentina Novaes"/>
    <s v="guilhermecostela@hotmail.com"/>
    <s v="REQ-1066"/>
    <x v="3"/>
    <s v="Operations"/>
    <s v="Remote"/>
    <s v="Presencial"/>
    <x v="1"/>
    <x v="41"/>
    <s v="Lara"/>
    <x v="1"/>
    <x v="0"/>
    <x v="1"/>
    <d v="2025-02-16T00:00:00"/>
    <d v="2025-02-24T00:00:00"/>
    <b v="1"/>
    <n v="9"/>
    <b v="1"/>
    <d v="2025-02-25T00:00:00"/>
    <b v="1"/>
    <d v="2025-03-06T00:00:00"/>
    <b v="1"/>
    <d v="2025-03-11T00:00:00"/>
    <n v="80"/>
    <n v="73"/>
    <n v="62"/>
    <b v="1"/>
    <d v="2025-03-12T00:00:00"/>
    <x v="1"/>
    <d v="2025-03-17T00:00:00"/>
    <x v="4"/>
    <x v="0"/>
    <n v="29"/>
    <s v="Pediu prazo adicional para retorno."/>
  </r>
  <r>
    <n v="452"/>
    <s v="Bárbara da Mata"/>
    <s v="lucas-gabriel94@hotmail.com"/>
    <s v="REQ-1072"/>
    <x v="1"/>
    <s v="People"/>
    <s v="Belo Horizonte"/>
    <s v="Presencial"/>
    <x v="0"/>
    <x v="82"/>
    <s v="Mariana"/>
    <x v="2"/>
    <x v="3"/>
    <x v="0"/>
    <d v="2025-05-11T00:00:00"/>
    <d v="2025-05-14T00:00:00"/>
    <b v="0"/>
    <m/>
    <b v="0"/>
    <m/>
    <b v="0"/>
    <m/>
    <b v="0"/>
    <m/>
    <n v="91"/>
    <n v="72"/>
    <n v="94"/>
    <b v="0"/>
    <m/>
    <x v="0"/>
    <m/>
    <x v="2"/>
    <x v="1"/>
    <n v="3"/>
    <s v="Bom potencial de evolução."/>
  </r>
  <r>
    <n v="453"/>
    <s v="Maria Luiza Cardoso"/>
    <s v="catarina33@gmail.com"/>
    <s v="REQ-1040"/>
    <x v="2"/>
    <s v="Tech"/>
    <s v="Campinas"/>
    <s v="Presencial"/>
    <x v="1"/>
    <x v="88"/>
    <s v="Davi"/>
    <x v="1"/>
    <x v="6"/>
    <x v="1"/>
    <d v="2025-05-08T00:00:00"/>
    <d v="2025-05-08T00:00:00"/>
    <b v="0"/>
    <m/>
    <b v="0"/>
    <m/>
    <b v="0"/>
    <m/>
    <b v="0"/>
    <m/>
    <n v="81"/>
    <n v="79"/>
    <n v="82"/>
    <b v="0"/>
    <m/>
    <x v="0"/>
    <m/>
    <x v="2"/>
    <x v="1"/>
    <n v="0"/>
    <s v="Boa comunicação e resposta rápida."/>
  </r>
  <r>
    <n v="454"/>
    <s v="Dr. Isaac Silveira"/>
    <s v="silvaana-sophia@hotmail.com"/>
    <s v="REQ-1004"/>
    <x v="1"/>
    <s v="Data"/>
    <s v="Campinas"/>
    <s v="Remoto"/>
    <x v="2"/>
    <x v="100"/>
    <s v="Otávio"/>
    <x v="4"/>
    <x v="5"/>
    <x v="3"/>
    <d v="2025-04-25T00:00:00"/>
    <d v="2025-04-27T00:00:00"/>
    <b v="0"/>
    <m/>
    <b v="0"/>
    <m/>
    <b v="0"/>
    <m/>
    <b v="0"/>
    <m/>
    <n v="73"/>
    <n v="69"/>
    <n v="79"/>
    <b v="0"/>
    <m/>
    <x v="0"/>
    <m/>
    <x v="2"/>
    <x v="1"/>
    <n v="2"/>
    <s v="Pontos fortes em execução e autonomia."/>
  </r>
  <r>
    <n v="455"/>
    <s v="Murilo Pires"/>
    <s v="lporto@da.com"/>
    <s v="REQ-1042"/>
    <x v="3"/>
    <s v="Operations"/>
    <s v="Remote"/>
    <s v="Presencial"/>
    <x v="0"/>
    <x v="45"/>
    <s v="Enrico"/>
    <x v="4"/>
    <x v="1"/>
    <x v="1"/>
    <d v="2025-02-16T00:00:00"/>
    <d v="2025-02-16T00:00:00"/>
    <b v="0"/>
    <m/>
    <b v="0"/>
    <m/>
    <b v="0"/>
    <m/>
    <b v="0"/>
    <m/>
    <n v="86"/>
    <n v="78"/>
    <n v="69"/>
    <b v="0"/>
    <m/>
    <x v="0"/>
    <m/>
    <x v="2"/>
    <x v="1"/>
    <n v="0"/>
    <s v="Pontos fortes em execução e autonomia."/>
  </r>
  <r>
    <n v="456"/>
    <s v="Maria Vitória Lima"/>
    <s v="raul38@ig.com.br"/>
    <s v="REQ-1048"/>
    <x v="1"/>
    <s v="People"/>
    <s v="Remote"/>
    <s v="Presencial"/>
    <x v="0"/>
    <x v="5"/>
    <s v="Isadora"/>
    <x v="5"/>
    <x v="5"/>
    <x v="3"/>
    <d v="2025-02-01T00:00:00"/>
    <d v="2025-02-07T00:00:00"/>
    <b v="0"/>
    <m/>
    <b v="0"/>
    <m/>
    <b v="0"/>
    <m/>
    <b v="0"/>
    <m/>
    <n v="57"/>
    <n v="64"/>
    <n v="50"/>
    <b v="0"/>
    <m/>
    <x v="0"/>
    <m/>
    <x v="2"/>
    <x v="1"/>
    <n v="6"/>
    <s v="Pediu prazo adicional para retorno."/>
  </r>
  <r>
    <n v="457"/>
    <s v="Sr. Bernardo Novaes"/>
    <s v="sarah99@gomes.com"/>
    <s v="REQ-1051"/>
    <x v="0"/>
    <s v="Data"/>
    <s v="Belo Horizonte"/>
    <s v="Híbrido"/>
    <x v="0"/>
    <x v="10"/>
    <s v="Diego"/>
    <x v="1"/>
    <x v="4"/>
    <x v="1"/>
    <d v="2025-03-13T00:00:00"/>
    <d v="2025-03-17T00:00:00"/>
    <b v="1"/>
    <n v="11"/>
    <b v="1"/>
    <d v="2025-03-19T00:00:00"/>
    <b v="0"/>
    <m/>
    <b v="0"/>
    <m/>
    <n v="63"/>
    <n v="86"/>
    <n v="69"/>
    <b v="0"/>
    <m/>
    <x v="0"/>
    <m/>
    <x v="5"/>
    <x v="0"/>
    <n v="6"/>
    <s v="Apresentou aderência forte ao contexto da vaga."/>
  </r>
  <r>
    <n v="458"/>
    <s v="Benjamin Lopes"/>
    <s v="vmoreira@yahoo.com.br"/>
    <s v="REQ-1040"/>
    <x v="2"/>
    <s v="Data"/>
    <s v="São Paulo"/>
    <s v="Híbrido"/>
    <x v="1"/>
    <x v="25"/>
    <s v="Alana"/>
    <x v="1"/>
    <x v="6"/>
    <x v="3"/>
    <d v="2025-05-13T00:00:00"/>
    <d v="2025-05-16T00:00:00"/>
    <b v="1"/>
    <n v="6"/>
    <b v="1"/>
    <d v="2025-05-22T00:00:00"/>
    <b v="1"/>
    <d v="2025-05-24T00:00:00"/>
    <b v="1"/>
    <d v="2025-05-27T00:00:00"/>
    <n v="77"/>
    <n v="84"/>
    <n v="76"/>
    <b v="1"/>
    <d v="2025-06-02T00:00:00"/>
    <x v="1"/>
    <d v="2025-06-14T00:00:00"/>
    <x v="4"/>
    <x v="0"/>
    <n v="32"/>
    <s v="Feedback positivo do gestor."/>
  </r>
  <r>
    <n v="459"/>
    <s v="Gabrielly Freitas"/>
    <s v="almeidaian@da.com"/>
    <s v="REQ-1079"/>
    <x v="1"/>
    <s v="Data"/>
    <s v="Campinas"/>
    <s v="Remoto"/>
    <x v="0"/>
    <x v="18"/>
    <s v="Stella"/>
    <x v="3"/>
    <x v="4"/>
    <x v="0"/>
    <d v="2025-02-01T00:00:00"/>
    <d v="2025-02-05T00:00:00"/>
    <b v="1"/>
    <n v="10"/>
    <b v="0"/>
    <m/>
    <b v="0"/>
    <m/>
    <b v="0"/>
    <m/>
    <n v="85"/>
    <n v="88"/>
    <n v="84"/>
    <b v="0"/>
    <m/>
    <x v="0"/>
    <m/>
    <x v="1"/>
    <x v="0"/>
    <n v="4"/>
    <s v="Pediu prazo adicional para retorno."/>
  </r>
  <r>
    <n v="460"/>
    <s v="Maria Carvalho"/>
    <s v="correiamariane@azevedo.br"/>
    <s v="REQ-1044"/>
    <x v="0"/>
    <s v="People"/>
    <s v="Belo Horizonte"/>
    <s v="Remoto"/>
    <x v="2"/>
    <x v="6"/>
    <s v="Davi Lucca"/>
    <x v="1"/>
    <x v="2"/>
    <x v="3"/>
    <d v="2025-01-20T00:00:00"/>
    <d v="2025-01-20T00:00:00"/>
    <b v="1"/>
    <n v="0"/>
    <b v="1"/>
    <d v="2025-01-24T00:00:00"/>
    <b v="1"/>
    <d v="2025-02-07T00:00:00"/>
    <b v="0"/>
    <m/>
    <n v="77"/>
    <n v="100"/>
    <n v="79"/>
    <b v="0"/>
    <m/>
    <x v="0"/>
    <m/>
    <x v="3"/>
    <x v="9"/>
    <n v="18"/>
    <s v="Experiência sólida, mas expectativa salarial alta."/>
  </r>
  <r>
    <n v="461"/>
    <s v="Dr. João Miguel Azevedo"/>
    <s v="davi01@uol.com.br"/>
    <s v="REQ-1000"/>
    <x v="2"/>
    <s v="Data"/>
    <s v="Rio de Janeiro"/>
    <s v="Presencial"/>
    <x v="0"/>
    <x v="96"/>
    <s v="Leandro"/>
    <x v="4"/>
    <x v="4"/>
    <x v="3"/>
    <d v="2025-03-05T00:00:00"/>
    <d v="2025-03-08T00:00:00"/>
    <b v="1"/>
    <n v="5"/>
    <b v="0"/>
    <m/>
    <b v="0"/>
    <m/>
    <b v="0"/>
    <m/>
    <n v="75"/>
    <n v="88"/>
    <n v="74"/>
    <b v="0"/>
    <m/>
    <x v="0"/>
    <m/>
    <x v="1"/>
    <x v="5"/>
    <n v="3"/>
    <s v="Perfil técnico acima da média."/>
  </r>
  <r>
    <n v="462"/>
    <s v="Sr. Vinicius Peixoto"/>
    <s v="pda-conceicao@uol.com.br"/>
    <s v="REQ-1052"/>
    <x v="3"/>
    <s v="Data"/>
    <s v="São Paulo"/>
    <s v="Presencial"/>
    <x v="1"/>
    <x v="46"/>
    <s v="Eduarda"/>
    <x v="3"/>
    <x v="3"/>
    <x v="0"/>
    <d v="2025-05-20T00:00:00"/>
    <d v="2025-05-20T00:00:00"/>
    <b v="1"/>
    <n v="12"/>
    <b v="1"/>
    <d v="2025-05-23T00:00:00"/>
    <b v="1"/>
    <d v="2025-06-02T00:00:00"/>
    <b v="1"/>
    <d v="2025-06-03T00:00:00"/>
    <n v="72"/>
    <n v="93"/>
    <n v="97"/>
    <b v="1"/>
    <d v="2025-06-06T00:00:00"/>
    <x v="1"/>
    <d v="2025-06-14T00:00:00"/>
    <x v="4"/>
    <x v="0"/>
    <n v="25"/>
    <s v="Baixa responsividade nas etapas iniciais."/>
  </r>
  <r>
    <n v="463"/>
    <s v="Sr. João Guilherme Carvalho"/>
    <s v="ida-rocha@souza.net"/>
    <s v="REQ-1063"/>
    <x v="0"/>
    <s v="Operations"/>
    <s v="São Paulo"/>
    <s v="Híbrido"/>
    <x v="0"/>
    <x v="54"/>
    <s v="Stephany"/>
    <x v="1"/>
    <x v="2"/>
    <x v="0"/>
    <d v="2025-03-31T00:00:00"/>
    <d v="2025-04-06T00:00:00"/>
    <b v="1"/>
    <n v="9"/>
    <b v="1"/>
    <d v="2025-04-10T00:00:00"/>
    <b v="1"/>
    <d v="2025-04-18T00:00:00"/>
    <b v="1"/>
    <d v="2025-04-21T00:00:00"/>
    <n v="73"/>
    <n v="69"/>
    <n v="84"/>
    <b v="0"/>
    <m/>
    <x v="0"/>
    <m/>
    <x v="0"/>
    <x v="5"/>
    <n v="21"/>
    <s v="Apresentou aderência forte ao contexto da vaga."/>
  </r>
  <r>
    <n v="464"/>
    <s v="Paulo Costela"/>
    <s v="luiza84@almeida.br"/>
    <s v="REQ-1042"/>
    <x v="3"/>
    <s v="Operations"/>
    <s v="Rio de Janeiro"/>
    <s v="Presencial"/>
    <x v="1"/>
    <x v="80"/>
    <s v="Rafael"/>
    <x v="4"/>
    <x v="2"/>
    <x v="0"/>
    <d v="2025-01-30T00:00:00"/>
    <d v="2025-02-04T00:00:00"/>
    <b v="1"/>
    <n v="6"/>
    <b v="1"/>
    <d v="2025-02-12T00:00:00"/>
    <b v="1"/>
    <d v="2025-02-18T00:00:00"/>
    <b v="1"/>
    <d v="2025-02-28T00:00:00"/>
    <n v="79"/>
    <n v="66"/>
    <n v="69"/>
    <b v="0"/>
    <m/>
    <x v="0"/>
    <m/>
    <x v="0"/>
    <x v="0"/>
    <n v="29"/>
    <s v="Apresentou aderência forte ao contexto da vaga."/>
  </r>
  <r>
    <n v="465"/>
    <s v="Natália das Neves"/>
    <s v="pietrolopes@freitas.com"/>
    <s v="REQ-1060"/>
    <x v="0"/>
    <s v="People"/>
    <s v="Remote"/>
    <s v="Remoto"/>
    <x v="2"/>
    <x v="52"/>
    <s v="Gabriel"/>
    <x v="2"/>
    <x v="7"/>
    <x v="0"/>
    <d v="2025-02-14T00:00:00"/>
    <d v="2025-02-18T00:00:00"/>
    <b v="0"/>
    <m/>
    <b v="0"/>
    <m/>
    <b v="0"/>
    <m/>
    <b v="0"/>
    <m/>
    <n v="70"/>
    <n v="70"/>
    <n v="75"/>
    <b v="0"/>
    <m/>
    <x v="0"/>
    <m/>
    <x v="2"/>
    <x v="1"/>
    <n v="4"/>
    <s v="Baixa responsividade nas etapas iniciais."/>
  </r>
  <r>
    <n v="466"/>
    <s v="Cauê Aragão"/>
    <s v="lucas-gabriel11@farias.com"/>
    <s v="REQ-1004"/>
    <x v="0"/>
    <s v="Tech"/>
    <s v="Rio de Janeiro"/>
    <s v="Híbrido"/>
    <x v="3"/>
    <x v="102"/>
    <s v="Catarina"/>
    <x v="4"/>
    <x v="1"/>
    <x v="2"/>
    <d v="2025-01-31T00:00:00"/>
    <d v="2025-02-03T00:00:00"/>
    <b v="1"/>
    <n v="0"/>
    <b v="0"/>
    <m/>
    <b v="0"/>
    <m/>
    <b v="0"/>
    <m/>
    <n v="71"/>
    <n v="71"/>
    <n v="73"/>
    <b v="0"/>
    <m/>
    <x v="0"/>
    <m/>
    <x v="1"/>
    <x v="0"/>
    <n v="3"/>
    <s v="Boa comunicação e resposta rápida."/>
  </r>
  <r>
    <n v="467"/>
    <s v="Anthony Souza"/>
    <s v="eda-paz@cavalcanti.org"/>
    <s v="REQ-1058"/>
    <x v="2"/>
    <s v="Data"/>
    <s v="Curitiba"/>
    <s v="Presencial"/>
    <x v="2"/>
    <x v="92"/>
    <s v="Diego"/>
    <x v="5"/>
    <x v="6"/>
    <x v="2"/>
    <d v="2025-04-22T00:00:00"/>
    <d v="2025-04-22T00:00:00"/>
    <b v="1"/>
    <n v="0"/>
    <b v="1"/>
    <d v="2025-05-02T00:00:00"/>
    <b v="0"/>
    <m/>
    <b v="0"/>
    <m/>
    <n v="55"/>
    <n v="79"/>
    <n v="53"/>
    <b v="0"/>
    <m/>
    <x v="0"/>
    <m/>
    <x v="5"/>
    <x v="0"/>
    <n v="10"/>
    <s v="Apresentou aderência forte ao contexto da vaga."/>
  </r>
  <r>
    <n v="468"/>
    <s v="Nathan Porto"/>
    <s v="vitor14@gmail.com"/>
    <s v="REQ-1005"/>
    <x v="0"/>
    <s v="Operations"/>
    <s v="Belo Horizonte"/>
    <s v="Remoto"/>
    <x v="0"/>
    <x v="116"/>
    <s v="Laís"/>
    <x v="4"/>
    <x v="2"/>
    <x v="1"/>
    <d v="2025-04-11T00:00:00"/>
    <d v="2025-04-11T00:00:00"/>
    <b v="1"/>
    <n v="1"/>
    <b v="1"/>
    <d v="2025-04-16T00:00:00"/>
    <b v="0"/>
    <m/>
    <b v="0"/>
    <m/>
    <n v="77"/>
    <n v="96"/>
    <n v="80"/>
    <b v="0"/>
    <m/>
    <x v="0"/>
    <m/>
    <x v="5"/>
    <x v="0"/>
    <n v="5"/>
    <s v="Baixa responsividade nas etapas iniciais."/>
  </r>
  <r>
    <n v="469"/>
    <s v="Isadora Almeida"/>
    <s v="silvanathan@ribeiro.net"/>
    <s v="REQ-1033"/>
    <x v="0"/>
    <s v="Operations"/>
    <s v="Remote"/>
    <s v="Híbrido"/>
    <x v="0"/>
    <x v="12"/>
    <s v="Samuel"/>
    <x v="2"/>
    <x v="5"/>
    <x v="1"/>
    <d v="2025-01-18T00:00:00"/>
    <d v="2025-01-21T00:00:00"/>
    <b v="0"/>
    <m/>
    <b v="0"/>
    <m/>
    <b v="0"/>
    <m/>
    <b v="0"/>
    <m/>
    <n v="75"/>
    <n v="90"/>
    <n v="95"/>
    <b v="0"/>
    <m/>
    <x v="0"/>
    <m/>
    <x v="2"/>
    <x v="1"/>
    <n v="3"/>
    <s v="Bom potencial de evolução."/>
  </r>
  <r>
    <n v="470"/>
    <s v="Leonardo Azevedo"/>
    <s v="sarah39@jesus.org"/>
    <s v="REQ-1021"/>
    <x v="2"/>
    <s v="Tech"/>
    <s v="Remote"/>
    <s v="Presencial"/>
    <x v="1"/>
    <x v="61"/>
    <s v="João Lucas"/>
    <x v="2"/>
    <x v="7"/>
    <x v="3"/>
    <d v="2025-04-09T00:00:00"/>
    <d v="2025-04-09T00:00:00"/>
    <b v="0"/>
    <m/>
    <b v="0"/>
    <m/>
    <b v="0"/>
    <m/>
    <b v="0"/>
    <m/>
    <n v="69"/>
    <n v="67"/>
    <n v="53"/>
    <b v="0"/>
    <m/>
    <x v="0"/>
    <m/>
    <x v="2"/>
    <x v="1"/>
    <n v="0"/>
    <s v="Boa comunicação e resposta rápida."/>
  </r>
  <r>
    <n v="471"/>
    <s v="Helena Nascimento"/>
    <s v="anthonyramos@dias.br"/>
    <s v="REQ-1063"/>
    <x v="0"/>
    <s v="Data"/>
    <s v="Curitiba"/>
    <s v="Híbrido"/>
    <x v="0"/>
    <x v="48"/>
    <s v="Luiz Miguel"/>
    <x v="4"/>
    <x v="0"/>
    <x v="2"/>
    <d v="2025-02-05T00:00:00"/>
    <d v="2025-02-10T00:00:00"/>
    <b v="1"/>
    <n v="5"/>
    <b v="1"/>
    <d v="2025-02-20T00:00:00"/>
    <b v="1"/>
    <d v="2025-03-05T00:00:00"/>
    <b v="1"/>
    <d v="2025-03-11T00:00:00"/>
    <n v="75"/>
    <n v="60"/>
    <n v="58"/>
    <b v="0"/>
    <m/>
    <x v="0"/>
    <m/>
    <x v="0"/>
    <x v="6"/>
    <n v="34"/>
    <s v="Baixa responsividade nas etapas iniciais."/>
  </r>
  <r>
    <n v="472"/>
    <s v="João Felipe Lima"/>
    <s v="clarice21@pinto.br"/>
    <s v="REQ-1048"/>
    <x v="2"/>
    <s v="Data"/>
    <s v="Belo Horizonte"/>
    <s v="Remoto"/>
    <x v="0"/>
    <x v="47"/>
    <s v="João Gabriel"/>
    <x v="5"/>
    <x v="6"/>
    <x v="2"/>
    <d v="2025-03-10T00:00:00"/>
    <d v="2025-03-14T00:00:00"/>
    <b v="0"/>
    <m/>
    <b v="0"/>
    <m/>
    <b v="0"/>
    <m/>
    <b v="0"/>
    <m/>
    <n v="87"/>
    <n v="90"/>
    <n v="93"/>
    <b v="0"/>
    <m/>
    <x v="0"/>
    <m/>
    <x v="2"/>
    <x v="1"/>
    <n v="4"/>
    <s v="Pontos fortes em execução e autonomia."/>
  </r>
  <r>
    <n v="473"/>
    <s v="Isabelly da Luz"/>
    <s v="fmoreira@uol.com.br"/>
    <s v="REQ-1030"/>
    <x v="2"/>
    <s v="Data"/>
    <s v="São Paulo"/>
    <s v="Híbrido"/>
    <x v="2"/>
    <x v="42"/>
    <s v="Maria Cecília"/>
    <x v="3"/>
    <x v="3"/>
    <x v="1"/>
    <d v="2025-03-25T00:00:00"/>
    <d v="2025-03-26T00:00:00"/>
    <b v="0"/>
    <m/>
    <b v="0"/>
    <m/>
    <b v="0"/>
    <m/>
    <b v="0"/>
    <m/>
    <n v="79"/>
    <n v="67"/>
    <n v="64"/>
    <b v="0"/>
    <m/>
    <x v="0"/>
    <m/>
    <x v="2"/>
    <x v="1"/>
    <n v="1"/>
    <s v="Feedback positivo do gestor."/>
  </r>
  <r>
    <n v="474"/>
    <s v="Maria Julia Moraes"/>
    <s v="clopes@moura.com"/>
    <s v="REQ-1052"/>
    <x v="2"/>
    <s v="Tech"/>
    <s v="Remote"/>
    <s v="Remoto"/>
    <x v="0"/>
    <x v="24"/>
    <s v="Davi Lucca"/>
    <x v="4"/>
    <x v="7"/>
    <x v="0"/>
    <d v="2025-03-08T00:00:00"/>
    <d v="2025-03-13T00:00:00"/>
    <b v="0"/>
    <m/>
    <b v="0"/>
    <m/>
    <b v="0"/>
    <m/>
    <b v="0"/>
    <m/>
    <n v="64"/>
    <n v="66"/>
    <n v="75"/>
    <b v="0"/>
    <m/>
    <x v="0"/>
    <m/>
    <x v="2"/>
    <x v="1"/>
    <n v="5"/>
    <s v="Demonstrou interesse claro na oportunidade."/>
  </r>
  <r>
    <n v="475"/>
    <s v="João Guilherme Cardoso"/>
    <s v="camilaalves@ramos.br"/>
    <s v="REQ-1055"/>
    <x v="0"/>
    <s v="Tech"/>
    <s v="São Paulo"/>
    <s v="Híbrido"/>
    <x v="2"/>
    <x v="97"/>
    <s v="Luiz Gustavo"/>
    <x v="1"/>
    <x v="4"/>
    <x v="3"/>
    <d v="2025-04-14T00:00:00"/>
    <d v="2025-04-16T00:00:00"/>
    <b v="1"/>
    <n v="10"/>
    <b v="1"/>
    <d v="2025-04-19T00:00:00"/>
    <b v="0"/>
    <m/>
    <b v="0"/>
    <m/>
    <n v="56"/>
    <n v="65"/>
    <n v="57"/>
    <b v="0"/>
    <m/>
    <x v="0"/>
    <m/>
    <x v="5"/>
    <x v="7"/>
    <n v="5"/>
    <s v="Feedback positivo do gestor."/>
  </r>
  <r>
    <n v="476"/>
    <s v="Vitor Gabriel Novaes"/>
    <s v="dcarvalho@silveira.com"/>
    <s v="REQ-1059"/>
    <x v="1"/>
    <s v="People"/>
    <s v="Belo Horizonte"/>
    <s v="Presencial"/>
    <x v="2"/>
    <x v="39"/>
    <s v="Lara"/>
    <x v="5"/>
    <x v="0"/>
    <x v="2"/>
    <d v="2025-02-21T00:00:00"/>
    <d v="2025-02-27T00:00:00"/>
    <b v="1"/>
    <n v="6"/>
    <b v="1"/>
    <d v="2025-03-01T00:00:00"/>
    <b v="0"/>
    <m/>
    <b v="0"/>
    <m/>
    <n v="77"/>
    <n v="66"/>
    <n v="81"/>
    <b v="0"/>
    <m/>
    <x v="0"/>
    <m/>
    <x v="5"/>
    <x v="5"/>
    <n v="8"/>
    <s v="Perfil técnico acima da média."/>
  </r>
  <r>
    <n v="477"/>
    <s v="Benjamin Fogaça"/>
    <s v="theoda-costa@nogueira.br"/>
    <s v="REQ-1089"/>
    <x v="3"/>
    <s v="Operations"/>
    <s v="Rio de Janeiro"/>
    <s v="Remoto"/>
    <x v="0"/>
    <x v="48"/>
    <s v="Bernardo"/>
    <x v="4"/>
    <x v="3"/>
    <x v="0"/>
    <d v="2025-01-22T00:00:00"/>
    <d v="2025-01-22T00:00:00"/>
    <b v="1"/>
    <n v="12"/>
    <b v="1"/>
    <d v="2025-01-27T00:00:00"/>
    <b v="1"/>
    <d v="2025-02-02T00:00:00"/>
    <b v="0"/>
    <m/>
    <n v="72"/>
    <n v="75"/>
    <n v="67"/>
    <b v="0"/>
    <m/>
    <x v="0"/>
    <m/>
    <x v="3"/>
    <x v="0"/>
    <n v="11"/>
    <s v="Bom potencial de evolução."/>
  </r>
  <r>
    <n v="478"/>
    <s v="Dr. Paulo da Rosa"/>
    <s v="cavalcantithales@pereira.org"/>
    <s v="REQ-1020"/>
    <x v="1"/>
    <s v="Tech"/>
    <s v="Belo Horizonte"/>
    <s v="Presencial"/>
    <x v="2"/>
    <x v="117"/>
    <s v="Maria Sophia"/>
    <x v="4"/>
    <x v="1"/>
    <x v="3"/>
    <d v="2025-05-03T00:00:00"/>
    <d v="2025-05-03T00:00:00"/>
    <b v="1"/>
    <n v="10"/>
    <b v="1"/>
    <d v="2025-05-05T00:00:00"/>
    <b v="1"/>
    <d v="2025-05-17T00:00:00"/>
    <b v="1"/>
    <d v="2025-05-18T00:00:00"/>
    <n v="73"/>
    <n v="55"/>
    <n v="77"/>
    <b v="0"/>
    <m/>
    <x v="0"/>
    <m/>
    <x v="0"/>
    <x v="1"/>
    <n v="15"/>
    <s v="Experiência sólida, mas expectativa salarial alta."/>
  </r>
  <r>
    <n v="479"/>
    <s v="Luiz Fernando Porto"/>
    <s v="moraesmirella@nogueira.com"/>
    <s v="REQ-1062"/>
    <x v="1"/>
    <s v="People"/>
    <s v="Campinas"/>
    <s v="Híbrido"/>
    <x v="0"/>
    <x v="45"/>
    <s v="Elisa"/>
    <x v="2"/>
    <x v="6"/>
    <x v="1"/>
    <d v="2025-02-16T00:00:00"/>
    <d v="2025-02-18T00:00:00"/>
    <b v="0"/>
    <m/>
    <b v="0"/>
    <m/>
    <b v="0"/>
    <m/>
    <b v="0"/>
    <m/>
    <n v="78"/>
    <n v="74"/>
    <n v="83"/>
    <b v="0"/>
    <m/>
    <x v="0"/>
    <m/>
    <x v="2"/>
    <x v="1"/>
    <n v="2"/>
    <s v="Demonstrou interesse claro na oportunidade."/>
  </r>
  <r>
    <n v="480"/>
    <s v="Vitor Gabriel Gomes"/>
    <s v="ana-laura72@silveira.org"/>
    <s v="REQ-1097"/>
    <x v="0"/>
    <s v="People"/>
    <s v="Curitiba"/>
    <s v="Híbrido"/>
    <x v="2"/>
    <x v="118"/>
    <s v="Eloah"/>
    <x v="4"/>
    <x v="0"/>
    <x v="0"/>
    <d v="2025-03-06T00:00:00"/>
    <d v="2025-03-11T00:00:00"/>
    <b v="1"/>
    <n v="1"/>
    <b v="1"/>
    <d v="2025-03-15T00:00:00"/>
    <b v="1"/>
    <d v="2025-03-18T00:00:00"/>
    <b v="1"/>
    <d v="2025-03-22T00:00:00"/>
    <n v="58"/>
    <n v="80"/>
    <n v="77"/>
    <b v="0"/>
    <m/>
    <x v="0"/>
    <m/>
    <x v="0"/>
    <x v="0"/>
    <n v="16"/>
    <s v="Pontos fortes em execução e autonomia."/>
  </r>
  <r>
    <n v="481"/>
    <s v="Felipe Pires"/>
    <s v="joao-vitor05@gmail.com"/>
    <s v="REQ-1054"/>
    <x v="2"/>
    <s v="Data"/>
    <s v="Curitiba"/>
    <s v="Presencial"/>
    <x v="1"/>
    <x v="27"/>
    <s v="Vitória"/>
    <x v="0"/>
    <x v="4"/>
    <x v="1"/>
    <d v="2025-05-08T00:00:00"/>
    <d v="2025-05-10T00:00:00"/>
    <b v="0"/>
    <m/>
    <b v="0"/>
    <m/>
    <b v="0"/>
    <m/>
    <b v="0"/>
    <m/>
    <n v="84"/>
    <n v="65"/>
    <n v="77"/>
    <b v="0"/>
    <m/>
    <x v="0"/>
    <m/>
    <x v="2"/>
    <x v="1"/>
    <n v="2"/>
    <s v="Feedback positivo do gestor."/>
  </r>
  <r>
    <n v="482"/>
    <s v="Caio Moura"/>
    <s v="oda-mata@freitas.com"/>
    <s v="REQ-1075"/>
    <x v="0"/>
    <s v="Data"/>
    <s v="Curitiba"/>
    <s v="Remoto"/>
    <x v="0"/>
    <x v="72"/>
    <s v="Benício"/>
    <x v="0"/>
    <x v="3"/>
    <x v="3"/>
    <d v="2025-05-08T00:00:00"/>
    <d v="2025-05-08T00:00:00"/>
    <b v="1"/>
    <n v="7"/>
    <b v="1"/>
    <d v="2025-05-17T00:00:00"/>
    <b v="1"/>
    <d v="2025-05-23T00:00:00"/>
    <b v="0"/>
    <m/>
    <n v="87"/>
    <n v="80"/>
    <n v="79"/>
    <b v="0"/>
    <m/>
    <x v="0"/>
    <m/>
    <x v="3"/>
    <x v="0"/>
    <n v="15"/>
    <s v="Bom potencial de evolução."/>
  </r>
  <r>
    <n v="483"/>
    <s v="Luiza Martins"/>
    <s v="martinssabrina@moreira.org"/>
    <s v="REQ-1001"/>
    <x v="0"/>
    <s v="Data"/>
    <s v="Remote"/>
    <s v="Híbrido"/>
    <x v="0"/>
    <x v="72"/>
    <s v="Leandro"/>
    <x v="2"/>
    <x v="3"/>
    <x v="3"/>
    <d v="2025-03-14T00:00:00"/>
    <d v="2025-03-19T00:00:00"/>
    <b v="1"/>
    <n v="5"/>
    <b v="1"/>
    <d v="2025-03-25T00:00:00"/>
    <b v="0"/>
    <m/>
    <b v="0"/>
    <m/>
    <n v="50"/>
    <n v="87"/>
    <n v="80"/>
    <b v="0"/>
    <m/>
    <x v="0"/>
    <m/>
    <x v="5"/>
    <x v="0"/>
    <n v="11"/>
    <s v="Bom potencial de evolução."/>
  </r>
  <r>
    <n v="484"/>
    <s v="Agatha Monteiro"/>
    <s v="lorenapinto@martins.br"/>
    <s v="REQ-1063"/>
    <x v="3"/>
    <s v="Data"/>
    <s v="São Paulo"/>
    <s v="Presencial"/>
    <x v="1"/>
    <x v="9"/>
    <s v="Davi Lucas"/>
    <x v="3"/>
    <x v="4"/>
    <x v="0"/>
    <d v="2025-02-13T00:00:00"/>
    <d v="2025-02-15T00:00:00"/>
    <b v="1"/>
    <n v="1"/>
    <b v="1"/>
    <d v="2025-02-20T00:00:00"/>
    <b v="0"/>
    <m/>
    <b v="0"/>
    <m/>
    <n v="77"/>
    <n v="85"/>
    <n v="81"/>
    <b v="0"/>
    <m/>
    <x v="0"/>
    <m/>
    <x v="5"/>
    <x v="0"/>
    <n v="7"/>
    <s v="Bom potencial de evolução."/>
  </r>
  <r>
    <n v="485"/>
    <s v="Benjamin Nunes"/>
    <s v="vitor-gabrielcarvalho@ig.com.br"/>
    <s v="REQ-1012"/>
    <x v="3"/>
    <s v="Operations"/>
    <s v="São Paulo"/>
    <s v="Remoto"/>
    <x v="1"/>
    <x v="62"/>
    <s v="Breno"/>
    <x v="0"/>
    <x v="4"/>
    <x v="2"/>
    <d v="2025-05-06T00:00:00"/>
    <d v="2025-05-09T00:00:00"/>
    <b v="0"/>
    <m/>
    <b v="0"/>
    <m/>
    <b v="0"/>
    <m/>
    <b v="0"/>
    <m/>
    <n v="63"/>
    <n v="50"/>
    <n v="52"/>
    <b v="0"/>
    <m/>
    <x v="0"/>
    <m/>
    <x v="2"/>
    <x v="1"/>
    <n v="3"/>
    <s v="Boa comunicação e resposta rápida."/>
  </r>
  <r>
    <n v="486"/>
    <s v="Luiza das Neves"/>
    <s v="anthony38@rodrigues.com"/>
    <s v="REQ-1031"/>
    <x v="1"/>
    <s v="Tech"/>
    <s v="Belo Horizonte"/>
    <s v="Híbrido"/>
    <x v="0"/>
    <x v="34"/>
    <s v="Luiza"/>
    <x v="0"/>
    <x v="6"/>
    <x v="1"/>
    <d v="2025-04-02T00:00:00"/>
    <d v="2025-04-06T00:00:00"/>
    <b v="1"/>
    <n v="6"/>
    <b v="1"/>
    <d v="2025-04-09T00:00:00"/>
    <b v="1"/>
    <d v="2025-04-17T00:00:00"/>
    <b v="1"/>
    <d v="2025-04-21T00:00:00"/>
    <n v="68"/>
    <n v="60"/>
    <n v="56"/>
    <b v="0"/>
    <m/>
    <x v="0"/>
    <m/>
    <x v="0"/>
    <x v="2"/>
    <n v="19"/>
    <s v="Bom potencial de evolução."/>
  </r>
  <r>
    <n v="487"/>
    <s v="Maria Vitória da Luz"/>
    <s v="marianecaldeira@ig.com.br"/>
    <s v="REQ-1004"/>
    <x v="0"/>
    <s v="People"/>
    <s v="Curitiba"/>
    <s v="Híbrido"/>
    <x v="0"/>
    <x v="96"/>
    <s v="Vitória"/>
    <x v="5"/>
    <x v="1"/>
    <x v="0"/>
    <d v="2025-03-05T00:00:00"/>
    <d v="2025-03-05T00:00:00"/>
    <b v="0"/>
    <m/>
    <b v="0"/>
    <m/>
    <b v="0"/>
    <m/>
    <b v="0"/>
    <m/>
    <n v="97"/>
    <n v="74"/>
    <n v="100"/>
    <b v="0"/>
    <m/>
    <x v="0"/>
    <m/>
    <x v="2"/>
    <x v="1"/>
    <n v="0"/>
    <s v="Apresentou aderência forte ao contexto da vaga."/>
  </r>
  <r>
    <n v="488"/>
    <s v="Juan Lima"/>
    <s v="ffarias@yahoo.com.br"/>
    <s v="REQ-1041"/>
    <x v="0"/>
    <s v="People"/>
    <s v="Remote"/>
    <s v="Presencial"/>
    <x v="3"/>
    <x v="33"/>
    <s v="Rodrigo"/>
    <x v="4"/>
    <x v="3"/>
    <x v="2"/>
    <d v="2025-04-07T00:00:00"/>
    <d v="2025-04-11T00:00:00"/>
    <b v="0"/>
    <m/>
    <b v="0"/>
    <m/>
    <b v="0"/>
    <m/>
    <b v="0"/>
    <m/>
    <n v="100"/>
    <n v="87"/>
    <n v="98"/>
    <b v="0"/>
    <m/>
    <x v="0"/>
    <m/>
    <x v="2"/>
    <x v="1"/>
    <n v="4"/>
    <s v="Apresentou aderência forte ao contexto da vaga."/>
  </r>
  <r>
    <n v="489"/>
    <s v="Luna da Mota"/>
    <s v="alopes@gomes.com"/>
    <s v="REQ-1025"/>
    <x v="0"/>
    <s v="Data"/>
    <s v="Campinas"/>
    <s v="Presencial"/>
    <x v="0"/>
    <x v="13"/>
    <s v="João Vitor"/>
    <x v="5"/>
    <x v="6"/>
    <x v="3"/>
    <d v="2025-04-01T00:00:00"/>
    <d v="2025-04-01T00:00:00"/>
    <b v="1"/>
    <n v="6"/>
    <b v="1"/>
    <d v="2025-04-11T00:00:00"/>
    <b v="0"/>
    <m/>
    <b v="0"/>
    <m/>
    <n v="53"/>
    <n v="72"/>
    <n v="57"/>
    <b v="0"/>
    <m/>
    <x v="0"/>
    <m/>
    <x v="5"/>
    <x v="0"/>
    <n v="10"/>
    <s v="Feedback positivo do gestor."/>
  </r>
  <r>
    <n v="490"/>
    <s v="Caroline da Mata"/>
    <s v="da-cruzeduardo@farias.br"/>
    <s v="REQ-1009"/>
    <x v="2"/>
    <s v="Tech"/>
    <s v="Remote"/>
    <s v="Híbrido"/>
    <x v="1"/>
    <x v="6"/>
    <s v="Davi"/>
    <x v="5"/>
    <x v="2"/>
    <x v="0"/>
    <d v="2025-02-11T00:00:00"/>
    <d v="2025-02-16T00:00:00"/>
    <b v="1"/>
    <n v="1"/>
    <b v="1"/>
    <d v="2025-02-26T00:00:00"/>
    <b v="0"/>
    <m/>
    <b v="0"/>
    <m/>
    <n v="64"/>
    <n v="73"/>
    <n v="58"/>
    <b v="0"/>
    <m/>
    <x v="0"/>
    <m/>
    <x v="5"/>
    <x v="0"/>
    <n v="15"/>
    <s v="Pediu prazo adicional para retorno."/>
  </r>
  <r>
    <n v="491"/>
    <s v="Mirella Monteiro"/>
    <s v="qcarvalho@ig.com.br"/>
    <s v="REQ-1044"/>
    <x v="2"/>
    <s v="Operations"/>
    <s v="Campinas"/>
    <s v="Presencial"/>
    <x v="1"/>
    <x v="81"/>
    <s v="Catarina"/>
    <x v="5"/>
    <x v="7"/>
    <x v="0"/>
    <d v="2025-04-08T00:00:00"/>
    <d v="2025-04-12T00:00:00"/>
    <b v="1"/>
    <n v="1"/>
    <b v="0"/>
    <m/>
    <b v="0"/>
    <m/>
    <b v="0"/>
    <m/>
    <n v="84"/>
    <n v="78"/>
    <n v="90"/>
    <b v="0"/>
    <m/>
    <x v="0"/>
    <m/>
    <x v="1"/>
    <x v="2"/>
    <n v="4"/>
    <s v="Perfil técnico acima da média."/>
  </r>
  <r>
    <n v="492"/>
    <s v="Emanuel da Costa"/>
    <s v="esther17@yahoo.com.br"/>
    <s v="REQ-1072"/>
    <x v="2"/>
    <s v="Operations"/>
    <s v="São Paulo"/>
    <s v="Presencial"/>
    <x v="1"/>
    <x v="99"/>
    <s v="Isabel"/>
    <x v="1"/>
    <x v="3"/>
    <x v="2"/>
    <d v="2025-02-09T00:00:00"/>
    <d v="2025-02-12T00:00:00"/>
    <b v="1"/>
    <n v="7"/>
    <b v="1"/>
    <d v="2025-02-22T00:00:00"/>
    <b v="1"/>
    <d v="2025-03-04T00:00:00"/>
    <b v="1"/>
    <d v="2025-03-09T00:00:00"/>
    <n v="83"/>
    <n v="66"/>
    <n v="67"/>
    <b v="0"/>
    <m/>
    <x v="0"/>
    <m/>
    <x v="0"/>
    <x v="0"/>
    <n v="28"/>
    <s v="Pediu prazo adicional para retorno."/>
  </r>
  <r>
    <n v="493"/>
    <s v="Gustavo Azevedo"/>
    <s v="piresmarcelo@dias.br"/>
    <s v="REQ-1070"/>
    <x v="3"/>
    <s v="Tech"/>
    <s v="Curitiba"/>
    <s v="Presencial"/>
    <x v="3"/>
    <x v="119"/>
    <s v="Eduardo"/>
    <x v="5"/>
    <x v="5"/>
    <x v="0"/>
    <d v="2025-02-10T00:00:00"/>
    <d v="2025-02-12T00:00:00"/>
    <b v="0"/>
    <m/>
    <b v="0"/>
    <m/>
    <b v="0"/>
    <m/>
    <b v="0"/>
    <m/>
    <n v="76"/>
    <n v="79"/>
    <n v="78"/>
    <b v="0"/>
    <m/>
    <x v="0"/>
    <m/>
    <x v="2"/>
    <x v="1"/>
    <n v="2"/>
    <s v="Apresentou aderência forte ao contexto da vaga."/>
  </r>
  <r>
    <n v="494"/>
    <s v="Maria das Neves"/>
    <s v="sophia50@ig.com.br"/>
    <s v="REQ-1052"/>
    <x v="3"/>
    <s v="Tech"/>
    <s v="Rio de Janeiro"/>
    <s v="Híbrido"/>
    <x v="1"/>
    <x v="8"/>
    <s v="Bernardo"/>
    <x v="3"/>
    <x v="1"/>
    <x v="2"/>
    <d v="2025-01-28T00:00:00"/>
    <d v="2025-02-03T00:00:00"/>
    <b v="1"/>
    <n v="9"/>
    <b v="1"/>
    <d v="2025-02-04T00:00:00"/>
    <b v="1"/>
    <d v="2025-02-15T00:00:00"/>
    <b v="1"/>
    <d v="2025-02-23T00:00:00"/>
    <n v="76"/>
    <n v="78"/>
    <n v="75"/>
    <b v="1"/>
    <d v="2025-03-01T00:00:00"/>
    <x v="1"/>
    <d v="2025-03-08T00:00:00"/>
    <x v="4"/>
    <x v="0"/>
    <n v="39"/>
    <s v="Perfil técnico acima da média."/>
  </r>
  <r>
    <n v="495"/>
    <s v="Cauã Silva"/>
    <s v="souzamarcos-vinicius@hotmail.com"/>
    <s v="REQ-1089"/>
    <x v="0"/>
    <s v="Data"/>
    <s v="São Paulo"/>
    <s v="Remoto"/>
    <x v="1"/>
    <x v="81"/>
    <s v="Brenda"/>
    <x v="4"/>
    <x v="2"/>
    <x v="3"/>
    <d v="2025-01-07T00:00:00"/>
    <d v="2025-01-07T00:00:00"/>
    <b v="1"/>
    <n v="1"/>
    <b v="0"/>
    <m/>
    <b v="0"/>
    <m/>
    <b v="0"/>
    <m/>
    <n v="69"/>
    <n v="66"/>
    <n v="70"/>
    <b v="0"/>
    <m/>
    <x v="0"/>
    <m/>
    <x v="1"/>
    <x v="0"/>
    <n v="0"/>
    <s v="Pediu prazo adicional para retorno."/>
  </r>
  <r>
    <n v="496"/>
    <s v="Diego Castro"/>
    <s v="gomesheloisa@yahoo.com.br"/>
    <s v="REQ-1038"/>
    <x v="1"/>
    <s v="Data"/>
    <s v="São Paulo"/>
    <s v="Presencial"/>
    <x v="0"/>
    <x v="98"/>
    <s v="Otávio"/>
    <x v="4"/>
    <x v="7"/>
    <x v="3"/>
    <d v="2025-05-28T00:00:00"/>
    <d v="2025-05-28T00:00:00"/>
    <b v="1"/>
    <n v="2"/>
    <b v="1"/>
    <d v="2025-05-30T00:00:00"/>
    <b v="1"/>
    <d v="2025-06-11T00:00:00"/>
    <b v="1"/>
    <d v="2025-06-16T00:00:00"/>
    <n v="74"/>
    <n v="85"/>
    <n v="74"/>
    <b v="1"/>
    <d v="2025-06-21T00:00:00"/>
    <x v="0"/>
    <m/>
    <x v="6"/>
    <x v="0"/>
    <n v="24"/>
    <s v="Baixa responsividade nas etapas iniciais."/>
  </r>
  <r>
    <n v="497"/>
    <s v="Alice Barros"/>
    <s v="da-rosaandre@gmail.com"/>
    <s v="REQ-1089"/>
    <x v="0"/>
    <s v="Operations"/>
    <s v="Rio de Janeiro"/>
    <s v="Presencial"/>
    <x v="1"/>
    <x v="116"/>
    <s v="Maria Sophia"/>
    <x v="2"/>
    <x v="4"/>
    <x v="0"/>
    <d v="2025-05-04T00:00:00"/>
    <d v="2025-05-04T00:00:00"/>
    <b v="0"/>
    <m/>
    <b v="0"/>
    <m/>
    <b v="0"/>
    <m/>
    <b v="0"/>
    <m/>
    <n v="78"/>
    <n v="87"/>
    <n v="73"/>
    <b v="0"/>
    <m/>
    <x v="0"/>
    <m/>
    <x v="2"/>
    <x v="1"/>
    <n v="0"/>
    <s v="Experiência sólida, mas expectativa salarial alta."/>
  </r>
  <r>
    <n v="498"/>
    <s v="Diego Porto"/>
    <s v="jpires@da.net"/>
    <s v="REQ-1041"/>
    <x v="3"/>
    <s v="Tech"/>
    <s v="Remote"/>
    <s v="Remoto"/>
    <x v="1"/>
    <x v="6"/>
    <s v="Luiz Henrique"/>
    <x v="2"/>
    <x v="2"/>
    <x v="0"/>
    <d v="2025-05-16T00:00:00"/>
    <d v="2025-05-16T00:00:00"/>
    <b v="1"/>
    <n v="0"/>
    <b v="1"/>
    <d v="2025-05-18T00:00:00"/>
    <b v="0"/>
    <m/>
    <b v="0"/>
    <m/>
    <n v="83"/>
    <n v="79"/>
    <n v="92"/>
    <b v="0"/>
    <m/>
    <x v="0"/>
    <m/>
    <x v="5"/>
    <x v="8"/>
    <n v="2"/>
    <s v="Pontos fortes em execução e autonomia."/>
  </r>
  <r>
    <n v="499"/>
    <s v="Lorena Fernandes"/>
    <s v="lopessofia@freitas.br"/>
    <s v="REQ-1010"/>
    <x v="1"/>
    <s v="Operations"/>
    <s v="Belo Horizonte"/>
    <s v="Presencial"/>
    <x v="0"/>
    <x v="8"/>
    <s v="Sabrina"/>
    <x v="4"/>
    <x v="0"/>
    <x v="3"/>
    <d v="2025-03-23T00:00:00"/>
    <d v="2025-03-29T00:00:00"/>
    <b v="1"/>
    <n v="3"/>
    <b v="1"/>
    <d v="2025-03-31T00:00:00"/>
    <b v="1"/>
    <d v="2025-04-02T00:00:00"/>
    <b v="1"/>
    <d v="2025-04-04T00:00:00"/>
    <n v="77"/>
    <n v="77"/>
    <n v="77"/>
    <b v="1"/>
    <d v="2025-04-09T00:00:00"/>
    <x v="0"/>
    <m/>
    <x v="6"/>
    <x v="0"/>
    <n v="17"/>
    <s v="Bom potencial de evolução."/>
  </r>
  <r>
    <n v="500"/>
    <s v="Fernando Pereira"/>
    <s v="erickpeixoto@da.com"/>
    <s v="REQ-1068"/>
    <x v="3"/>
    <s v="Data"/>
    <s v="Belo Horizonte"/>
    <s v="Presencial"/>
    <x v="0"/>
    <x v="82"/>
    <s v="Luiz Henrique"/>
    <x v="1"/>
    <x v="1"/>
    <x v="3"/>
    <d v="2025-02-24T00:00:00"/>
    <d v="2025-02-25T00:00:00"/>
    <b v="1"/>
    <n v="0"/>
    <b v="1"/>
    <d v="2025-03-06T00:00:00"/>
    <b v="1"/>
    <d v="2025-03-18T00:00:00"/>
    <b v="1"/>
    <d v="2025-03-21T00:00:00"/>
    <n v="96"/>
    <n v="82"/>
    <n v="72"/>
    <b v="1"/>
    <d v="2025-03-28T00:00:00"/>
    <x v="1"/>
    <d v="2025-03-31T00:00:00"/>
    <x v="4"/>
    <x v="0"/>
    <n v="35"/>
    <s v="Experiência sólida, mas expectativa salarial alta."/>
  </r>
  <r>
    <n v="501"/>
    <s v="Cauã Sales"/>
    <s v="amanda85@hotmail.com"/>
    <s v="REQ-1045"/>
    <x v="1"/>
    <s v="Operations"/>
    <s v="Rio de Janeiro"/>
    <s v="Remoto"/>
    <x v="1"/>
    <x v="48"/>
    <s v="Letícia"/>
    <x v="0"/>
    <x v="7"/>
    <x v="0"/>
    <d v="2025-01-21T00:00:00"/>
    <d v="2025-01-27T00:00:00"/>
    <b v="1"/>
    <n v="0"/>
    <b v="1"/>
    <d v="2025-02-06T00:00:00"/>
    <b v="0"/>
    <m/>
    <b v="0"/>
    <m/>
    <n v="88"/>
    <n v="62"/>
    <n v="71"/>
    <b v="0"/>
    <m/>
    <x v="0"/>
    <m/>
    <x v="5"/>
    <x v="0"/>
    <n v="16"/>
    <s v="Baixa responsividade nas etapas iniciais."/>
  </r>
  <r>
    <n v="502"/>
    <s v="Dr. Davi Lucas Ramos"/>
    <s v="martinsluiz-miguel@goncalves.br"/>
    <s v="REQ-1024"/>
    <x v="3"/>
    <s v="People"/>
    <s v="Curitiba"/>
    <s v="Híbrido"/>
    <x v="1"/>
    <x v="1"/>
    <s v="Vitor"/>
    <x v="5"/>
    <x v="0"/>
    <x v="2"/>
    <d v="2025-05-08T00:00:00"/>
    <d v="2025-05-09T00:00:00"/>
    <b v="1"/>
    <n v="8"/>
    <b v="1"/>
    <d v="2025-05-13T00:00:00"/>
    <b v="1"/>
    <d v="2025-05-26T00:00:00"/>
    <b v="1"/>
    <d v="2025-05-30T00:00:00"/>
    <n v="76"/>
    <n v="81"/>
    <n v="89"/>
    <b v="1"/>
    <d v="2025-05-31T00:00:00"/>
    <x v="1"/>
    <d v="2025-06-05T00:00:00"/>
    <x v="4"/>
    <x v="0"/>
    <n v="28"/>
    <s v="Experiência sólida, mas expectativa salarial alta."/>
  </r>
  <r>
    <n v="503"/>
    <s v="Isabelly Correia"/>
    <s v="luiz-felipe63@gmail.com"/>
    <s v="REQ-1060"/>
    <x v="0"/>
    <s v="People"/>
    <s v="Curitiba"/>
    <s v="Presencial"/>
    <x v="3"/>
    <x v="45"/>
    <s v="Caroline"/>
    <x v="5"/>
    <x v="0"/>
    <x v="0"/>
    <d v="2025-04-05T00:00:00"/>
    <d v="2025-04-05T00:00:00"/>
    <b v="1"/>
    <n v="4"/>
    <b v="1"/>
    <d v="2025-04-15T00:00:00"/>
    <b v="1"/>
    <d v="2025-04-23T00:00:00"/>
    <b v="1"/>
    <d v="2025-04-27T00:00:00"/>
    <n v="68"/>
    <n v="76"/>
    <n v="86"/>
    <b v="0"/>
    <m/>
    <x v="0"/>
    <m/>
    <x v="0"/>
    <x v="0"/>
    <n v="22"/>
    <s v="Pontos fortes em execução e autonomia."/>
  </r>
  <r>
    <n v="504"/>
    <s v="Maria Correia"/>
    <s v="emanuella25@freitas.br"/>
    <s v="REQ-1060"/>
    <x v="1"/>
    <s v="Operations"/>
    <s v="Rio de Janeiro"/>
    <s v="Híbrido"/>
    <x v="0"/>
    <x v="12"/>
    <s v="Larissa"/>
    <x v="0"/>
    <x v="5"/>
    <x v="0"/>
    <d v="2025-01-11T00:00:00"/>
    <d v="2025-01-12T00:00:00"/>
    <b v="1"/>
    <n v="2"/>
    <b v="1"/>
    <d v="2025-01-20T00:00:00"/>
    <b v="1"/>
    <d v="2025-01-29T00:00:00"/>
    <b v="1"/>
    <d v="2025-01-30T00:00:00"/>
    <n v="55"/>
    <n v="86"/>
    <n v="78"/>
    <b v="0"/>
    <m/>
    <x v="0"/>
    <m/>
    <x v="0"/>
    <x v="2"/>
    <n v="19"/>
    <s v="Apresentou aderência forte ao contexto da vaga."/>
  </r>
  <r>
    <n v="505"/>
    <s v="Ana Júlia Barbosa"/>
    <s v="luiz-henriquefogaca@caldeira.br"/>
    <s v="REQ-1042"/>
    <x v="3"/>
    <s v="People"/>
    <s v="Remote"/>
    <s v="Presencial"/>
    <x v="3"/>
    <x v="112"/>
    <s v="Fernando"/>
    <x v="5"/>
    <x v="3"/>
    <x v="0"/>
    <d v="2025-01-19T00:00:00"/>
    <d v="2025-01-22T00:00:00"/>
    <b v="0"/>
    <m/>
    <b v="0"/>
    <m/>
    <b v="0"/>
    <m/>
    <b v="0"/>
    <m/>
    <n v="65"/>
    <n v="93"/>
    <n v="80"/>
    <b v="0"/>
    <m/>
    <x v="0"/>
    <m/>
    <x v="2"/>
    <x v="1"/>
    <n v="3"/>
    <s v="Perfil técnico acima da média."/>
  </r>
  <r>
    <n v="506"/>
    <s v="Sr. Vicente Barros"/>
    <s v="lopeslara@da.br"/>
    <s v="REQ-1089"/>
    <x v="3"/>
    <s v="Tech"/>
    <s v="São Paulo"/>
    <s v="Híbrido"/>
    <x v="0"/>
    <x v="94"/>
    <s v="Rafaela"/>
    <x v="4"/>
    <x v="1"/>
    <x v="3"/>
    <d v="2025-01-03T00:00:00"/>
    <d v="2025-01-06T00:00:00"/>
    <b v="1"/>
    <n v="0"/>
    <b v="1"/>
    <d v="2025-01-07T00:00:00"/>
    <b v="0"/>
    <m/>
    <b v="0"/>
    <m/>
    <n v="90"/>
    <n v="66"/>
    <n v="91"/>
    <b v="0"/>
    <m/>
    <x v="0"/>
    <m/>
    <x v="5"/>
    <x v="9"/>
    <n v="4"/>
    <s v="Bom potencial de evolução."/>
  </r>
  <r>
    <n v="507"/>
    <s v="Sra. Ana Lívia Ribeiro"/>
    <s v="lteixeira@peixoto.com"/>
    <s v="REQ-1027"/>
    <x v="3"/>
    <s v="Tech"/>
    <s v="Curitiba"/>
    <s v="Presencial"/>
    <x v="0"/>
    <x v="21"/>
    <s v="Ana Lívia"/>
    <x v="3"/>
    <x v="0"/>
    <x v="1"/>
    <d v="2025-03-30T00:00:00"/>
    <d v="2025-04-06T00:00:00"/>
    <b v="1"/>
    <n v="1"/>
    <b v="1"/>
    <d v="2025-04-16T00:00:00"/>
    <b v="1"/>
    <d v="2025-04-23T00:00:00"/>
    <b v="1"/>
    <d v="2025-04-27T00:00:00"/>
    <n v="64"/>
    <n v="69"/>
    <n v="75"/>
    <b v="0"/>
    <m/>
    <x v="0"/>
    <m/>
    <x v="0"/>
    <x v="0"/>
    <n v="28"/>
    <s v="Pediu prazo adicional para retorno."/>
  </r>
  <r>
    <n v="508"/>
    <s v="Brenda Azevedo"/>
    <s v="fernando86@yahoo.com.br"/>
    <s v="REQ-1074"/>
    <x v="3"/>
    <s v="People"/>
    <s v="Rio de Janeiro"/>
    <s v="Presencial"/>
    <x v="1"/>
    <x v="15"/>
    <s v="Maysa"/>
    <x v="3"/>
    <x v="3"/>
    <x v="2"/>
    <d v="2025-02-28T00:00:00"/>
    <d v="2025-03-01T00:00:00"/>
    <b v="1"/>
    <n v="2"/>
    <b v="1"/>
    <d v="2025-03-10T00:00:00"/>
    <b v="1"/>
    <d v="2025-03-19T00:00:00"/>
    <b v="1"/>
    <d v="2025-03-20T00:00:00"/>
    <n v="91"/>
    <n v="56"/>
    <n v="63"/>
    <b v="0"/>
    <m/>
    <x v="0"/>
    <m/>
    <x v="0"/>
    <x v="4"/>
    <n v="20"/>
    <s v="Bom potencial de evolução."/>
  </r>
  <r>
    <n v="509"/>
    <s v="Dr. Miguel Cardoso"/>
    <s v="barbara64@ig.com.br"/>
    <s v="REQ-1002"/>
    <x v="0"/>
    <s v="People"/>
    <s v="São Paulo"/>
    <s v="Remoto"/>
    <x v="0"/>
    <x v="81"/>
    <s v="Esther"/>
    <x v="0"/>
    <x v="7"/>
    <x v="1"/>
    <d v="2025-02-18T00:00:00"/>
    <d v="2025-02-18T00:00:00"/>
    <b v="1"/>
    <n v="0"/>
    <b v="0"/>
    <m/>
    <b v="0"/>
    <m/>
    <b v="0"/>
    <m/>
    <n v="73"/>
    <n v="62"/>
    <n v="81"/>
    <b v="0"/>
    <m/>
    <x v="0"/>
    <m/>
    <x v="1"/>
    <x v="8"/>
    <n v="0"/>
    <s v="Apresentou aderência forte ao contexto da vaga."/>
  </r>
  <r>
    <n v="510"/>
    <s v="Alana Melo"/>
    <s v="elisa66@rodrigues.com"/>
    <s v="REQ-1033"/>
    <x v="0"/>
    <s v="People"/>
    <s v="São Paulo"/>
    <s v="Híbrido"/>
    <x v="0"/>
    <x v="98"/>
    <s v="Erick"/>
    <x v="3"/>
    <x v="6"/>
    <x v="0"/>
    <d v="2025-03-26T00:00:00"/>
    <d v="2025-03-31T00:00:00"/>
    <b v="1"/>
    <n v="12"/>
    <b v="1"/>
    <d v="2025-04-07T00:00:00"/>
    <b v="1"/>
    <d v="2025-04-10T00:00:00"/>
    <b v="1"/>
    <d v="2025-04-11T00:00:00"/>
    <n v="84"/>
    <n v="70"/>
    <n v="81"/>
    <b v="1"/>
    <d v="2025-04-13T00:00:00"/>
    <x v="1"/>
    <d v="2025-04-14T00:00:00"/>
    <x v="4"/>
    <x v="0"/>
    <n v="19"/>
    <s v="Perfil técnico acima da média."/>
  </r>
  <r>
    <n v="511"/>
    <s v="Bárbara Viana"/>
    <s v="waragao@bol.com.br"/>
    <s v="REQ-1033"/>
    <x v="2"/>
    <s v="Data"/>
    <s v="Rio de Janeiro"/>
    <s v="Presencial"/>
    <x v="2"/>
    <x v="100"/>
    <s v="Bárbara"/>
    <x v="4"/>
    <x v="4"/>
    <x v="2"/>
    <d v="2025-02-03T00:00:00"/>
    <d v="2025-02-07T00:00:00"/>
    <b v="1"/>
    <n v="7"/>
    <b v="1"/>
    <d v="2025-02-10T00:00:00"/>
    <b v="1"/>
    <d v="2025-02-21T00:00:00"/>
    <b v="1"/>
    <d v="2025-03-01T00:00:00"/>
    <n v="58"/>
    <n v="66"/>
    <n v="65"/>
    <b v="0"/>
    <m/>
    <x v="0"/>
    <m/>
    <x v="0"/>
    <x v="5"/>
    <n v="26"/>
    <s v="Experiência sólida, mas expectativa salarial alta."/>
  </r>
  <r>
    <n v="512"/>
    <s v="Lucas Nunes"/>
    <s v="wpeixoto@pires.org"/>
    <s v="REQ-1084"/>
    <x v="2"/>
    <s v="Tech"/>
    <s v="Campinas"/>
    <s v="Remoto"/>
    <x v="0"/>
    <x v="87"/>
    <s v="Carlos Eduardo"/>
    <x v="2"/>
    <x v="4"/>
    <x v="0"/>
    <d v="2025-02-26T00:00:00"/>
    <d v="2025-03-01T00:00:00"/>
    <b v="1"/>
    <n v="0"/>
    <b v="1"/>
    <d v="2025-03-10T00:00:00"/>
    <b v="1"/>
    <d v="2025-03-20T00:00:00"/>
    <b v="1"/>
    <d v="2025-03-24T00:00:00"/>
    <n v="64"/>
    <n v="87"/>
    <n v="71"/>
    <b v="0"/>
    <m/>
    <x v="0"/>
    <m/>
    <x v="0"/>
    <x v="0"/>
    <n v="26"/>
    <s v="Pediu prazo adicional para retorno."/>
  </r>
  <r>
    <n v="513"/>
    <s v="Alexia Moraes"/>
    <s v="silvajoana@gmail.com"/>
    <s v="REQ-1035"/>
    <x v="0"/>
    <s v="Data"/>
    <s v="Belo Horizonte"/>
    <s v="Presencial"/>
    <x v="0"/>
    <x v="43"/>
    <s v="Rafaela"/>
    <x v="5"/>
    <x v="3"/>
    <x v="3"/>
    <d v="2025-02-22T00:00:00"/>
    <d v="2025-02-22T00:00:00"/>
    <b v="1"/>
    <n v="6"/>
    <b v="1"/>
    <d v="2025-03-04T00:00:00"/>
    <b v="1"/>
    <d v="2025-03-07T00:00:00"/>
    <b v="1"/>
    <d v="2025-03-08T00:00:00"/>
    <n v="92"/>
    <n v="92"/>
    <n v="87"/>
    <b v="0"/>
    <m/>
    <x v="0"/>
    <m/>
    <x v="0"/>
    <x v="8"/>
    <n v="14"/>
    <s v="Perfil técnico acima da média."/>
  </r>
  <r>
    <n v="514"/>
    <s v="Gabriel Azevedo"/>
    <s v="rodriguescaio@da.br"/>
    <s v="REQ-1029"/>
    <x v="0"/>
    <s v="Operations"/>
    <s v="Belo Horizonte"/>
    <s v="Presencial"/>
    <x v="1"/>
    <x v="47"/>
    <s v="Felipe"/>
    <x v="2"/>
    <x v="1"/>
    <x v="3"/>
    <d v="2025-05-14T00:00:00"/>
    <d v="2025-05-16T00:00:00"/>
    <b v="1"/>
    <n v="10"/>
    <b v="1"/>
    <d v="2025-05-17T00:00:00"/>
    <b v="1"/>
    <d v="2025-05-28T00:00:00"/>
    <b v="0"/>
    <m/>
    <n v="78"/>
    <n v="61"/>
    <n v="70"/>
    <b v="0"/>
    <m/>
    <x v="0"/>
    <m/>
    <x v="3"/>
    <x v="7"/>
    <n v="14"/>
    <s v="Pontos fortes em execução e autonomia."/>
  </r>
  <r>
    <n v="515"/>
    <s v="Eduarda Correia"/>
    <s v="joanacarvalho@goncalves.br"/>
    <s v="REQ-1070"/>
    <x v="3"/>
    <s v="Tech"/>
    <s v="Remote"/>
    <s v="Remoto"/>
    <x v="1"/>
    <x v="39"/>
    <s v="Luiz Henrique"/>
    <x v="0"/>
    <x v="7"/>
    <x v="0"/>
    <d v="2025-01-24T00:00:00"/>
    <d v="2025-01-24T00:00:00"/>
    <b v="0"/>
    <m/>
    <b v="0"/>
    <m/>
    <b v="0"/>
    <m/>
    <b v="0"/>
    <m/>
    <n v="67"/>
    <n v="67"/>
    <n v="76"/>
    <b v="0"/>
    <m/>
    <x v="0"/>
    <m/>
    <x v="2"/>
    <x v="1"/>
    <n v="0"/>
    <s v="Apresentou aderência forte ao contexto da vaga."/>
  </r>
  <r>
    <n v="516"/>
    <s v="João Miguel Pinto"/>
    <s v="monteiromatheus@ig.com.br"/>
    <s v="REQ-1038"/>
    <x v="2"/>
    <s v="Tech"/>
    <s v="Rio de Janeiro"/>
    <s v="Presencial"/>
    <x v="3"/>
    <x v="45"/>
    <s v="Júlia"/>
    <x v="4"/>
    <x v="1"/>
    <x v="3"/>
    <d v="2025-05-20T00:00:00"/>
    <d v="2025-05-22T00:00:00"/>
    <b v="1"/>
    <n v="7"/>
    <b v="1"/>
    <d v="2025-05-26T00:00:00"/>
    <b v="1"/>
    <d v="2025-06-07T00:00:00"/>
    <b v="1"/>
    <d v="2025-06-11T00:00:00"/>
    <n v="91"/>
    <n v="88"/>
    <n v="99"/>
    <b v="1"/>
    <d v="2025-06-17T00:00:00"/>
    <x v="1"/>
    <d v="2025-06-22T00:00:00"/>
    <x v="4"/>
    <x v="0"/>
    <n v="33"/>
    <s v="Bom potencial de evolução."/>
  </r>
  <r>
    <n v="517"/>
    <s v="Enzo Gabriel Dias"/>
    <s v="diaslucas@ig.com.br"/>
    <s v="REQ-1093"/>
    <x v="3"/>
    <s v="Tech"/>
    <s v="Remote"/>
    <s v="Híbrido"/>
    <x v="0"/>
    <x v="44"/>
    <s v="Cauê"/>
    <x v="2"/>
    <x v="6"/>
    <x v="3"/>
    <d v="2025-02-14T00:00:00"/>
    <d v="2025-02-16T00:00:00"/>
    <b v="1"/>
    <n v="9"/>
    <b v="1"/>
    <d v="2025-02-18T00:00:00"/>
    <b v="1"/>
    <d v="2025-02-26T00:00:00"/>
    <b v="0"/>
    <m/>
    <n v="86"/>
    <n v="86"/>
    <n v="82"/>
    <b v="0"/>
    <m/>
    <x v="0"/>
    <m/>
    <x v="3"/>
    <x v="2"/>
    <n v="12"/>
    <s v="Pediu prazo adicional para retorno."/>
  </r>
  <r>
    <n v="518"/>
    <s v="Julia Mendes"/>
    <s v="marianeda-mota@uol.com.br"/>
    <s v="REQ-1078"/>
    <x v="2"/>
    <s v="People"/>
    <s v="Rio de Janeiro"/>
    <s v="Remoto"/>
    <x v="0"/>
    <x v="82"/>
    <s v="Olivia"/>
    <x v="5"/>
    <x v="2"/>
    <x v="0"/>
    <d v="2025-02-26T00:00:00"/>
    <d v="2025-02-26T00:00:00"/>
    <b v="1"/>
    <n v="11"/>
    <b v="1"/>
    <d v="2025-03-07T00:00:00"/>
    <b v="1"/>
    <d v="2025-03-21T00:00:00"/>
    <b v="1"/>
    <d v="2025-03-24T00:00:00"/>
    <n v="69"/>
    <n v="75"/>
    <n v="81"/>
    <b v="0"/>
    <m/>
    <x v="0"/>
    <m/>
    <x v="0"/>
    <x v="6"/>
    <n v="26"/>
    <s v="Pontos fortes em execução e autonomia."/>
  </r>
  <r>
    <n v="519"/>
    <s v="Leonardo Correia"/>
    <s v="daviaraujo@da.org"/>
    <s v="REQ-1092"/>
    <x v="2"/>
    <s v="Data"/>
    <s v="Rio de Janeiro"/>
    <s v="Híbrido"/>
    <x v="1"/>
    <x v="6"/>
    <s v="Ana Luiza"/>
    <x v="0"/>
    <x v="2"/>
    <x v="0"/>
    <d v="2025-03-09T00:00:00"/>
    <d v="2025-03-16T00:00:00"/>
    <b v="1"/>
    <n v="11"/>
    <b v="0"/>
    <m/>
    <b v="0"/>
    <m/>
    <b v="0"/>
    <m/>
    <n v="77"/>
    <n v="63"/>
    <n v="68"/>
    <b v="0"/>
    <m/>
    <x v="0"/>
    <m/>
    <x v="1"/>
    <x v="3"/>
    <n v="7"/>
    <s v="Pediu prazo adicional para retorno."/>
  </r>
  <r>
    <n v="520"/>
    <s v="Benício das Neves"/>
    <s v="henriquegoncalves@ig.com.br"/>
    <s v="REQ-1070"/>
    <x v="3"/>
    <s v="Operations"/>
    <s v="São Paulo"/>
    <s v="Híbrido"/>
    <x v="1"/>
    <x v="1"/>
    <s v="Ana Laura"/>
    <x v="1"/>
    <x v="6"/>
    <x v="1"/>
    <d v="2025-03-28T00:00:00"/>
    <d v="2025-03-29T00:00:00"/>
    <b v="0"/>
    <m/>
    <b v="0"/>
    <m/>
    <b v="0"/>
    <m/>
    <b v="0"/>
    <m/>
    <n v="61"/>
    <n v="70"/>
    <n v="57"/>
    <b v="0"/>
    <m/>
    <x v="0"/>
    <m/>
    <x v="2"/>
    <x v="1"/>
    <n v="1"/>
    <s v="Experiência sólida, mas expectativa salarial alta."/>
  </r>
  <r>
    <n v="521"/>
    <s v="Juan Viana"/>
    <s v="arthurnogueira@gmail.com"/>
    <s v="REQ-1020"/>
    <x v="2"/>
    <s v="Data"/>
    <s v="Belo Horizonte"/>
    <s v="Presencial"/>
    <x v="0"/>
    <x v="68"/>
    <s v="Diego"/>
    <x v="5"/>
    <x v="0"/>
    <x v="3"/>
    <d v="2025-04-15T00:00:00"/>
    <d v="2025-04-18T00:00:00"/>
    <b v="1"/>
    <n v="12"/>
    <b v="1"/>
    <d v="2025-04-26T00:00:00"/>
    <b v="0"/>
    <m/>
    <b v="0"/>
    <m/>
    <n v="79"/>
    <n v="92"/>
    <n v="89"/>
    <b v="0"/>
    <m/>
    <x v="0"/>
    <m/>
    <x v="5"/>
    <x v="9"/>
    <n v="11"/>
    <s v="Pediu prazo adicional para retorno."/>
  </r>
  <r>
    <n v="522"/>
    <s v="Danilo Moreira"/>
    <s v="goncalvesgiovanna@da.br"/>
    <s v="REQ-1008"/>
    <x v="2"/>
    <s v="People"/>
    <s v="Curitiba"/>
    <s v="Remoto"/>
    <x v="0"/>
    <x v="9"/>
    <s v="Leandro"/>
    <x v="5"/>
    <x v="1"/>
    <x v="2"/>
    <d v="2025-03-16T00:00:00"/>
    <d v="2025-03-16T00:00:00"/>
    <b v="0"/>
    <m/>
    <b v="0"/>
    <m/>
    <b v="0"/>
    <m/>
    <b v="0"/>
    <m/>
    <n v="82"/>
    <n v="79"/>
    <n v="84"/>
    <b v="0"/>
    <m/>
    <x v="0"/>
    <m/>
    <x v="2"/>
    <x v="1"/>
    <n v="0"/>
    <s v="Experiência sólida, mas expectativa salarial alta."/>
  </r>
  <r>
    <n v="523"/>
    <s v="Sra. Emanuelly da Rocha"/>
    <s v="gabriel35@barbosa.br"/>
    <s v="REQ-1055"/>
    <x v="3"/>
    <s v="Data"/>
    <s v="Campinas"/>
    <s v="Presencial"/>
    <x v="1"/>
    <x v="2"/>
    <s v="Kaique"/>
    <x v="0"/>
    <x v="4"/>
    <x v="3"/>
    <d v="2025-05-30T00:00:00"/>
    <d v="2025-05-30T00:00:00"/>
    <b v="1"/>
    <n v="6"/>
    <b v="0"/>
    <m/>
    <b v="0"/>
    <m/>
    <b v="0"/>
    <m/>
    <n v="88"/>
    <n v="72"/>
    <n v="99"/>
    <b v="0"/>
    <m/>
    <x v="0"/>
    <m/>
    <x v="1"/>
    <x v="0"/>
    <n v="0"/>
    <s v="Demonstrou interesse claro na oportunidade."/>
  </r>
  <r>
    <n v="524"/>
    <s v="Enrico Dias"/>
    <s v="luizafreitas@uol.com.br"/>
    <s v="REQ-1047"/>
    <x v="3"/>
    <s v="Data"/>
    <s v="Curitiba"/>
    <s v="Presencial"/>
    <x v="1"/>
    <x v="99"/>
    <s v="Ana Laura"/>
    <x v="0"/>
    <x v="3"/>
    <x v="3"/>
    <d v="2025-01-16T00:00:00"/>
    <d v="2025-01-21T00:00:00"/>
    <b v="1"/>
    <n v="4"/>
    <b v="1"/>
    <d v="2025-01-22T00:00:00"/>
    <b v="1"/>
    <d v="2025-02-02T00:00:00"/>
    <b v="1"/>
    <d v="2025-02-07T00:00:00"/>
    <n v="66"/>
    <n v="76"/>
    <n v="60"/>
    <b v="0"/>
    <m/>
    <x v="0"/>
    <m/>
    <x v="0"/>
    <x v="0"/>
    <n v="22"/>
    <s v="Baixa responsividade nas etapas iniciais."/>
  </r>
  <r>
    <n v="525"/>
    <s v="Camila Teixeira"/>
    <s v="caroline15@cardoso.com"/>
    <s v="REQ-1070"/>
    <x v="2"/>
    <s v="Tech"/>
    <s v="São Paulo"/>
    <s v="Remoto"/>
    <x v="1"/>
    <x v="53"/>
    <s v="Stephany"/>
    <x v="2"/>
    <x v="3"/>
    <x v="1"/>
    <d v="2025-05-06T00:00:00"/>
    <d v="2025-05-08T00:00:00"/>
    <b v="1"/>
    <n v="3"/>
    <b v="1"/>
    <d v="2025-05-16T00:00:00"/>
    <b v="1"/>
    <d v="2025-05-19T00:00:00"/>
    <b v="1"/>
    <d v="2025-05-24T00:00:00"/>
    <n v="75"/>
    <n v="89"/>
    <n v="84"/>
    <b v="1"/>
    <d v="2025-05-30T00:00:00"/>
    <x v="0"/>
    <m/>
    <x v="6"/>
    <x v="0"/>
    <n v="24"/>
    <s v="Demonstrou interesse claro na oportunidade."/>
  </r>
  <r>
    <n v="526"/>
    <s v="Brenda Rodrigues"/>
    <s v="ana-liviateixeira@moura.com"/>
    <s v="REQ-1004"/>
    <x v="1"/>
    <s v="Data"/>
    <s v="Remote"/>
    <s v="Remoto"/>
    <x v="2"/>
    <x v="4"/>
    <s v="Vitória"/>
    <x v="3"/>
    <x v="7"/>
    <x v="1"/>
    <d v="2025-03-03T00:00:00"/>
    <d v="2025-03-03T00:00:00"/>
    <b v="1"/>
    <n v="9"/>
    <b v="0"/>
    <m/>
    <b v="0"/>
    <m/>
    <b v="0"/>
    <m/>
    <n v="68"/>
    <n v="56"/>
    <n v="48"/>
    <b v="0"/>
    <m/>
    <x v="0"/>
    <m/>
    <x v="1"/>
    <x v="0"/>
    <n v="0"/>
    <s v="Demonstrou interesse claro na oportunidade."/>
  </r>
  <r>
    <n v="527"/>
    <s v="Ana Beatriz Araújo"/>
    <s v="lucca09@cardoso.org"/>
    <s v="REQ-1090"/>
    <x v="3"/>
    <s v="Operations"/>
    <s v="Curitiba"/>
    <s v="Remoto"/>
    <x v="2"/>
    <x v="41"/>
    <s v="Francisco"/>
    <x v="3"/>
    <x v="1"/>
    <x v="2"/>
    <d v="2025-01-24T00:00:00"/>
    <d v="2025-01-27T00:00:00"/>
    <b v="1"/>
    <n v="5"/>
    <b v="1"/>
    <d v="2025-02-02T00:00:00"/>
    <b v="1"/>
    <d v="2025-02-09T00:00:00"/>
    <b v="1"/>
    <d v="2025-02-10T00:00:00"/>
    <n v="63"/>
    <n v="79"/>
    <n v="75"/>
    <b v="0"/>
    <m/>
    <x v="0"/>
    <m/>
    <x v="0"/>
    <x v="6"/>
    <n v="17"/>
    <s v="Apresentou aderência forte ao contexto da vaga."/>
  </r>
  <r>
    <n v="528"/>
    <s v="Marcos Vinicius das Neves"/>
    <s v="carolinamoura@bol.com.br"/>
    <s v="REQ-1063"/>
    <x v="0"/>
    <s v="Data"/>
    <s v="São Paulo"/>
    <s v="Remoto"/>
    <x v="0"/>
    <x v="65"/>
    <s v="Manuela"/>
    <x v="1"/>
    <x v="2"/>
    <x v="3"/>
    <d v="2025-03-28T00:00:00"/>
    <d v="2025-03-29T00:00:00"/>
    <b v="1"/>
    <n v="5"/>
    <b v="1"/>
    <d v="2025-04-08T00:00:00"/>
    <b v="0"/>
    <m/>
    <b v="0"/>
    <m/>
    <n v="99"/>
    <n v="80"/>
    <n v="83"/>
    <b v="0"/>
    <m/>
    <x v="0"/>
    <m/>
    <x v="5"/>
    <x v="1"/>
    <n v="11"/>
    <s v="Boa comunicação e resposta rápida."/>
  </r>
  <r>
    <n v="529"/>
    <s v="Davi Alves"/>
    <s v="iduarte@almeida.br"/>
    <s v="REQ-1005"/>
    <x v="2"/>
    <s v="Operations"/>
    <s v="Belo Horizonte"/>
    <s v="Presencial"/>
    <x v="0"/>
    <x v="14"/>
    <s v="Noah"/>
    <x v="3"/>
    <x v="7"/>
    <x v="1"/>
    <d v="2025-04-22T00:00:00"/>
    <d v="2025-04-22T00:00:00"/>
    <b v="0"/>
    <m/>
    <b v="0"/>
    <m/>
    <b v="0"/>
    <m/>
    <b v="0"/>
    <m/>
    <n v="86"/>
    <n v="79"/>
    <n v="92"/>
    <b v="0"/>
    <m/>
    <x v="0"/>
    <m/>
    <x v="2"/>
    <x v="1"/>
    <n v="0"/>
    <s v="Perfil técnico acima da média."/>
  </r>
  <r>
    <n v="530"/>
    <s v="Larissa Costa"/>
    <s v="almeidaemanuel@sales.br"/>
    <s v="REQ-1052"/>
    <x v="1"/>
    <s v="People"/>
    <s v="Belo Horizonte"/>
    <s v="Remoto"/>
    <x v="1"/>
    <x v="52"/>
    <s v="Maria Luiza"/>
    <x v="3"/>
    <x v="4"/>
    <x v="3"/>
    <d v="2025-04-09T00:00:00"/>
    <d v="2025-04-09T00:00:00"/>
    <b v="0"/>
    <m/>
    <b v="0"/>
    <m/>
    <b v="0"/>
    <m/>
    <b v="0"/>
    <m/>
    <n v="62"/>
    <n v="86"/>
    <n v="67"/>
    <b v="0"/>
    <m/>
    <x v="0"/>
    <m/>
    <x v="2"/>
    <x v="1"/>
    <n v="0"/>
    <s v="Pontos fortes em execução e autonomia."/>
  </r>
  <r>
    <n v="531"/>
    <s v="Srta. Carolina Fernandes"/>
    <s v="gmoraes@yahoo.com.br"/>
    <s v="REQ-1037"/>
    <x v="3"/>
    <s v="Operations"/>
    <s v="Campinas"/>
    <s v="Híbrido"/>
    <x v="2"/>
    <x v="23"/>
    <s v="Sarah"/>
    <x v="4"/>
    <x v="5"/>
    <x v="0"/>
    <d v="2025-04-05T00:00:00"/>
    <d v="2025-04-09T00:00:00"/>
    <b v="1"/>
    <n v="7"/>
    <b v="1"/>
    <d v="2025-04-12T00:00:00"/>
    <b v="1"/>
    <d v="2025-04-23T00:00:00"/>
    <b v="1"/>
    <d v="2025-04-29T00:00:00"/>
    <n v="56"/>
    <n v="60"/>
    <n v="61"/>
    <b v="0"/>
    <m/>
    <x v="0"/>
    <m/>
    <x v="0"/>
    <x v="0"/>
    <n v="24"/>
    <s v="Feedback positivo do gestor."/>
  </r>
  <r>
    <n v="532"/>
    <s v="Luiz Felipe Gonçalves"/>
    <s v="moreiracaua@ferreira.br"/>
    <s v="REQ-1039"/>
    <x v="0"/>
    <s v="People"/>
    <s v="Belo Horizonte"/>
    <s v="Remoto"/>
    <x v="3"/>
    <x v="55"/>
    <s v="Bruna"/>
    <x v="4"/>
    <x v="5"/>
    <x v="2"/>
    <d v="2025-01-11T00:00:00"/>
    <d v="2025-01-11T00:00:00"/>
    <b v="0"/>
    <m/>
    <b v="0"/>
    <m/>
    <b v="0"/>
    <m/>
    <b v="0"/>
    <m/>
    <n v="84"/>
    <n v="83"/>
    <n v="87"/>
    <b v="0"/>
    <m/>
    <x v="0"/>
    <m/>
    <x v="2"/>
    <x v="1"/>
    <n v="0"/>
    <s v="Pediu prazo adicional para retorno."/>
  </r>
  <r>
    <n v="533"/>
    <s v="Clarice Melo"/>
    <s v="udias@pires.com"/>
    <s v="REQ-1020"/>
    <x v="1"/>
    <s v="Operations"/>
    <s v="São Paulo"/>
    <s v="Remoto"/>
    <x v="1"/>
    <x v="9"/>
    <s v="Davi Luiz"/>
    <x v="0"/>
    <x v="3"/>
    <x v="2"/>
    <d v="2025-04-12T00:00:00"/>
    <d v="2025-04-16T00:00:00"/>
    <b v="0"/>
    <m/>
    <b v="0"/>
    <m/>
    <b v="0"/>
    <m/>
    <b v="0"/>
    <m/>
    <n v="63"/>
    <n v="79"/>
    <n v="74"/>
    <b v="0"/>
    <m/>
    <x v="0"/>
    <m/>
    <x v="2"/>
    <x v="1"/>
    <n v="4"/>
    <s v="Boa comunicação e resposta rápida."/>
  </r>
  <r>
    <n v="534"/>
    <s v="Nathan da Paz"/>
    <s v="da-rosapietro@hotmail.com"/>
    <s v="REQ-1096"/>
    <x v="0"/>
    <s v="Tech"/>
    <s v="Belo Horizonte"/>
    <s v="Remoto"/>
    <x v="1"/>
    <x v="61"/>
    <s v="Fernando"/>
    <x v="5"/>
    <x v="3"/>
    <x v="0"/>
    <d v="2025-05-24T00:00:00"/>
    <d v="2025-05-24T00:00:00"/>
    <b v="1"/>
    <n v="12"/>
    <b v="0"/>
    <m/>
    <b v="0"/>
    <m/>
    <b v="0"/>
    <m/>
    <n v="88"/>
    <n v="83"/>
    <n v="85"/>
    <b v="0"/>
    <m/>
    <x v="0"/>
    <m/>
    <x v="1"/>
    <x v="4"/>
    <n v="0"/>
    <s v="Demonstrou interesse claro na oportunidade."/>
  </r>
  <r>
    <n v="535"/>
    <s v="Ryan Barros"/>
    <s v="augustonunes@nunes.com"/>
    <s v="REQ-1033"/>
    <x v="3"/>
    <s v="People"/>
    <s v="Campinas"/>
    <s v="Presencial"/>
    <x v="1"/>
    <x v="1"/>
    <s v="Fernanda"/>
    <x v="4"/>
    <x v="2"/>
    <x v="3"/>
    <d v="2025-01-09T00:00:00"/>
    <d v="2025-01-09T00:00:00"/>
    <b v="1"/>
    <n v="5"/>
    <b v="1"/>
    <d v="2025-01-13T00:00:00"/>
    <b v="0"/>
    <m/>
    <b v="0"/>
    <m/>
    <n v="66"/>
    <n v="84"/>
    <n v="81"/>
    <b v="0"/>
    <m/>
    <x v="0"/>
    <m/>
    <x v="5"/>
    <x v="0"/>
    <n v="4"/>
    <s v="Perfil técnico acima da média."/>
  </r>
  <r>
    <n v="536"/>
    <s v="Sr. Calebe Freitas"/>
    <s v="ramosian@bol.com.br"/>
    <s v="REQ-1014"/>
    <x v="3"/>
    <s v="Tech"/>
    <s v="Curitiba"/>
    <s v="Híbrido"/>
    <x v="1"/>
    <x v="80"/>
    <s v="Caroline"/>
    <x v="1"/>
    <x v="0"/>
    <x v="0"/>
    <d v="2025-04-28T00:00:00"/>
    <d v="2025-05-05T00:00:00"/>
    <b v="1"/>
    <n v="1"/>
    <b v="1"/>
    <d v="2025-05-11T00:00:00"/>
    <b v="1"/>
    <d v="2025-05-21T00:00:00"/>
    <b v="1"/>
    <d v="2025-05-27T00:00:00"/>
    <n v="79"/>
    <n v="70"/>
    <n v="75"/>
    <b v="1"/>
    <d v="2025-05-28T00:00:00"/>
    <x v="0"/>
    <m/>
    <x v="6"/>
    <x v="0"/>
    <n v="30"/>
    <s v="Boa comunicação e resposta rápida."/>
  </r>
  <r>
    <n v="537"/>
    <s v="Ana Clara Fogaça"/>
    <s v="ana-carolina83@uol.com.br"/>
    <s v="REQ-1059"/>
    <x v="1"/>
    <s v="Tech"/>
    <s v="Rio de Janeiro"/>
    <s v="Presencial"/>
    <x v="0"/>
    <x v="13"/>
    <s v="Juan"/>
    <x v="4"/>
    <x v="5"/>
    <x v="0"/>
    <d v="2025-04-23T00:00:00"/>
    <d v="2025-04-26T00:00:00"/>
    <b v="0"/>
    <m/>
    <b v="0"/>
    <m/>
    <b v="0"/>
    <m/>
    <b v="0"/>
    <m/>
    <n v="79"/>
    <n v="70"/>
    <n v="66"/>
    <b v="0"/>
    <m/>
    <x v="0"/>
    <m/>
    <x v="2"/>
    <x v="1"/>
    <n v="3"/>
    <s v="Apresentou aderência forte ao contexto da vaga."/>
  </r>
  <r>
    <n v="538"/>
    <s v="Larissa Nascimento"/>
    <s v="bruno68@rocha.org"/>
    <s v="REQ-1079"/>
    <x v="3"/>
    <s v="Operations"/>
    <s v="São Paulo"/>
    <s v="Híbrido"/>
    <x v="3"/>
    <x v="112"/>
    <s v="Bruno"/>
    <x v="5"/>
    <x v="1"/>
    <x v="3"/>
    <d v="2025-05-05T00:00:00"/>
    <d v="2025-05-10T00:00:00"/>
    <b v="0"/>
    <m/>
    <b v="0"/>
    <m/>
    <b v="0"/>
    <m/>
    <b v="0"/>
    <m/>
    <n v="80"/>
    <n v="80"/>
    <n v="85"/>
    <b v="0"/>
    <m/>
    <x v="0"/>
    <m/>
    <x v="2"/>
    <x v="1"/>
    <n v="5"/>
    <s v="Bom potencial de evolução."/>
  </r>
  <r>
    <n v="539"/>
    <s v="Thomas Gonçalves"/>
    <s v="novaesdiogo@dias.br"/>
    <s v="REQ-1059"/>
    <x v="3"/>
    <s v="Operations"/>
    <s v="Campinas"/>
    <s v="Remoto"/>
    <x v="1"/>
    <x v="1"/>
    <s v="Ana Vitória"/>
    <x v="1"/>
    <x v="0"/>
    <x v="2"/>
    <d v="2025-01-05T00:00:00"/>
    <d v="2025-01-09T00:00:00"/>
    <b v="1"/>
    <n v="6"/>
    <b v="1"/>
    <d v="2025-01-11T00:00:00"/>
    <b v="1"/>
    <d v="2025-01-23T00:00:00"/>
    <b v="1"/>
    <d v="2025-01-31T00:00:00"/>
    <n v="71"/>
    <n v="72"/>
    <n v="73"/>
    <b v="0"/>
    <m/>
    <x v="0"/>
    <m/>
    <x v="0"/>
    <x v="6"/>
    <n v="26"/>
    <s v="Perfil técnico acima da média."/>
  </r>
  <r>
    <n v="540"/>
    <s v="Luana das Neves"/>
    <s v="lauraferreira@porto.br"/>
    <s v="REQ-1030"/>
    <x v="0"/>
    <s v="People"/>
    <s v="Belo Horizonte"/>
    <s v="Remoto"/>
    <x v="1"/>
    <x v="50"/>
    <s v="Maria Eduarda"/>
    <x v="5"/>
    <x v="1"/>
    <x v="2"/>
    <d v="2025-04-09T00:00:00"/>
    <d v="2025-04-15T00:00:00"/>
    <b v="1"/>
    <n v="10"/>
    <b v="0"/>
    <m/>
    <b v="0"/>
    <m/>
    <b v="0"/>
    <m/>
    <n v="82"/>
    <n v="69"/>
    <n v="66"/>
    <b v="0"/>
    <m/>
    <x v="0"/>
    <m/>
    <x v="1"/>
    <x v="8"/>
    <n v="6"/>
    <s v="Boa comunicação e resposta rápida."/>
  </r>
  <r>
    <n v="541"/>
    <s v="Yago Duarte"/>
    <s v="da-costaalexandre@yahoo.com.br"/>
    <s v="REQ-1093"/>
    <x v="1"/>
    <s v="Tech"/>
    <s v="Rio de Janeiro"/>
    <s v="Híbrido"/>
    <x v="1"/>
    <x v="67"/>
    <s v="Matheus"/>
    <x v="2"/>
    <x v="6"/>
    <x v="0"/>
    <d v="2025-03-27T00:00:00"/>
    <d v="2025-03-29T00:00:00"/>
    <b v="1"/>
    <n v="6"/>
    <b v="1"/>
    <d v="2025-04-08T00:00:00"/>
    <b v="1"/>
    <d v="2025-04-20T00:00:00"/>
    <b v="1"/>
    <d v="2025-04-27T00:00:00"/>
    <n v="73"/>
    <n v="68"/>
    <n v="68"/>
    <b v="0"/>
    <m/>
    <x v="0"/>
    <m/>
    <x v="0"/>
    <x v="0"/>
    <n v="31"/>
    <s v="Apresentou aderência forte ao contexto da vaga."/>
  </r>
  <r>
    <n v="542"/>
    <s v="Maria Viana"/>
    <s v="costaigor@hotmail.com"/>
    <s v="REQ-1009"/>
    <x v="0"/>
    <s v="Tech"/>
    <s v="São Paulo"/>
    <s v="Híbrido"/>
    <x v="3"/>
    <x v="120"/>
    <s v="Daniel"/>
    <x v="3"/>
    <x v="6"/>
    <x v="1"/>
    <d v="2025-01-26T00:00:00"/>
    <d v="2025-02-02T00:00:00"/>
    <b v="1"/>
    <n v="0"/>
    <b v="1"/>
    <d v="2025-02-12T00:00:00"/>
    <b v="1"/>
    <d v="2025-02-26T00:00:00"/>
    <b v="1"/>
    <d v="2025-03-03T00:00:00"/>
    <n v="100"/>
    <n v="87"/>
    <n v="94"/>
    <b v="1"/>
    <d v="2025-03-07T00:00:00"/>
    <x v="1"/>
    <d v="2025-03-10T00:00:00"/>
    <x v="4"/>
    <x v="0"/>
    <n v="43"/>
    <s v="Pontos fortes em execução e autonomia."/>
  </r>
  <r>
    <n v="543"/>
    <s v="Raquel da Cruz"/>
    <s v="thalesramos@yahoo.com.br"/>
    <s v="REQ-1076"/>
    <x v="3"/>
    <s v="Tech"/>
    <s v="Remote"/>
    <s v="Presencial"/>
    <x v="1"/>
    <x v="46"/>
    <s v="Ana Beatriz"/>
    <x v="2"/>
    <x v="1"/>
    <x v="1"/>
    <d v="2025-02-13T00:00:00"/>
    <d v="2025-02-13T00:00:00"/>
    <b v="1"/>
    <n v="8"/>
    <b v="1"/>
    <d v="2025-02-14T00:00:00"/>
    <b v="1"/>
    <d v="2025-02-26T00:00:00"/>
    <b v="1"/>
    <d v="2025-03-04T00:00:00"/>
    <n v="83"/>
    <n v="69"/>
    <n v="77"/>
    <b v="0"/>
    <m/>
    <x v="0"/>
    <m/>
    <x v="0"/>
    <x v="0"/>
    <n v="19"/>
    <s v="Pontos fortes em execução e autonomia."/>
  </r>
  <r>
    <n v="544"/>
    <s v="Emanuelly da Costa"/>
    <s v="natalia61@silveira.org"/>
    <s v="REQ-1031"/>
    <x v="3"/>
    <s v="Operations"/>
    <s v="Remote"/>
    <s v="Híbrido"/>
    <x v="3"/>
    <x v="89"/>
    <s v="Luiz Felipe"/>
    <x v="0"/>
    <x v="7"/>
    <x v="1"/>
    <d v="2025-03-31T00:00:00"/>
    <d v="2025-04-03T00:00:00"/>
    <b v="1"/>
    <n v="8"/>
    <b v="1"/>
    <d v="2025-04-10T00:00:00"/>
    <b v="0"/>
    <m/>
    <b v="0"/>
    <m/>
    <n v="93"/>
    <n v="58"/>
    <n v="76"/>
    <b v="0"/>
    <m/>
    <x v="0"/>
    <m/>
    <x v="5"/>
    <x v="9"/>
    <n v="10"/>
    <s v="Pontos fortes em execução e autonomia."/>
  </r>
  <r>
    <n v="545"/>
    <s v="Enzo Moreira"/>
    <s v="nda-luz@gmail.com"/>
    <s v="REQ-1072"/>
    <x v="1"/>
    <s v="People"/>
    <s v="Belo Horizonte"/>
    <s v="Híbrido"/>
    <x v="1"/>
    <x v="52"/>
    <s v="Raul"/>
    <x v="2"/>
    <x v="3"/>
    <x v="2"/>
    <d v="2025-03-28T00:00:00"/>
    <d v="2025-03-28T00:00:00"/>
    <b v="1"/>
    <n v="4"/>
    <b v="0"/>
    <m/>
    <b v="0"/>
    <m/>
    <b v="0"/>
    <m/>
    <n v="86"/>
    <n v="60"/>
    <n v="66"/>
    <b v="0"/>
    <m/>
    <x v="0"/>
    <m/>
    <x v="1"/>
    <x v="0"/>
    <n v="0"/>
    <s v="Demonstrou interesse claro na oportunidade."/>
  </r>
  <r>
    <n v="546"/>
    <s v="Dra. Yasmin Mendes"/>
    <s v="ipinto@jesus.org"/>
    <s v="REQ-1043"/>
    <x v="1"/>
    <s v="Tech"/>
    <s v="Curitiba"/>
    <s v="Híbrido"/>
    <x v="1"/>
    <x v="48"/>
    <s v="Cauê"/>
    <x v="4"/>
    <x v="6"/>
    <x v="3"/>
    <d v="2025-05-12T00:00:00"/>
    <d v="2025-05-12T00:00:00"/>
    <b v="1"/>
    <n v="4"/>
    <b v="1"/>
    <d v="2025-05-18T00:00:00"/>
    <b v="1"/>
    <d v="2025-05-21T00:00:00"/>
    <b v="1"/>
    <d v="2025-05-27T00:00:00"/>
    <n v="80"/>
    <n v="63"/>
    <n v="77"/>
    <b v="0"/>
    <m/>
    <x v="0"/>
    <m/>
    <x v="0"/>
    <x v="5"/>
    <n v="15"/>
    <s v="Bom potencial de evolução."/>
  </r>
  <r>
    <n v="547"/>
    <s v="Sr. Antônio da Luz"/>
    <s v="da-pazigor@pereira.br"/>
    <s v="REQ-1094"/>
    <x v="3"/>
    <s v="Operations"/>
    <s v="Campinas"/>
    <s v="Remoto"/>
    <x v="2"/>
    <x v="25"/>
    <s v="Bianca"/>
    <x v="2"/>
    <x v="6"/>
    <x v="3"/>
    <d v="2025-02-11T00:00:00"/>
    <d v="2025-02-12T00:00:00"/>
    <b v="0"/>
    <m/>
    <b v="0"/>
    <m/>
    <b v="0"/>
    <m/>
    <b v="0"/>
    <m/>
    <n v="77"/>
    <n v="55"/>
    <n v="68"/>
    <b v="0"/>
    <m/>
    <x v="0"/>
    <m/>
    <x v="2"/>
    <x v="1"/>
    <n v="1"/>
    <s v="Pontos fortes em execução e autonomia."/>
  </r>
  <r>
    <n v="548"/>
    <s v="Sofia Porto"/>
    <s v="carvalhoemilly@barros.br"/>
    <s v="REQ-1043"/>
    <x v="2"/>
    <s v="People"/>
    <s v="Campinas"/>
    <s v="Presencial"/>
    <x v="0"/>
    <x v="12"/>
    <s v="Pietro"/>
    <x v="2"/>
    <x v="5"/>
    <x v="1"/>
    <d v="2025-04-25T00:00:00"/>
    <d v="2025-04-25T00:00:00"/>
    <b v="1"/>
    <n v="0"/>
    <b v="1"/>
    <d v="2025-04-28T00:00:00"/>
    <b v="1"/>
    <d v="2025-05-12T00:00:00"/>
    <b v="0"/>
    <m/>
    <n v="71"/>
    <n v="68"/>
    <n v="60"/>
    <b v="0"/>
    <m/>
    <x v="0"/>
    <m/>
    <x v="3"/>
    <x v="0"/>
    <n v="17"/>
    <s v="Boa comunicação e resposta rápida."/>
  </r>
  <r>
    <n v="549"/>
    <s v="Lívia Alves"/>
    <s v="maria-eduardadias@ramos.org"/>
    <s v="REQ-1083"/>
    <x v="0"/>
    <s v="Data"/>
    <s v="Rio de Janeiro"/>
    <s v="Remoto"/>
    <x v="2"/>
    <x v="36"/>
    <s v="Marcelo"/>
    <x v="2"/>
    <x v="5"/>
    <x v="3"/>
    <d v="2025-03-25T00:00:00"/>
    <d v="2025-03-27T00:00:00"/>
    <b v="0"/>
    <m/>
    <b v="0"/>
    <m/>
    <b v="0"/>
    <m/>
    <b v="0"/>
    <m/>
    <n v="81"/>
    <n v="53"/>
    <n v="53"/>
    <b v="0"/>
    <m/>
    <x v="0"/>
    <m/>
    <x v="2"/>
    <x v="1"/>
    <n v="2"/>
    <s v="Pediu prazo adicional para retorno."/>
  </r>
  <r>
    <n v="550"/>
    <s v="Juan Farias"/>
    <s v="leandro44@das.com"/>
    <s v="REQ-1091"/>
    <x v="2"/>
    <s v="Tech"/>
    <s v="Rio de Janeiro"/>
    <s v="Híbrido"/>
    <x v="0"/>
    <x v="48"/>
    <s v="Heitor"/>
    <x v="5"/>
    <x v="1"/>
    <x v="1"/>
    <d v="2025-02-19T00:00:00"/>
    <d v="2025-02-24T00:00:00"/>
    <b v="1"/>
    <n v="2"/>
    <b v="1"/>
    <d v="2025-03-03T00:00:00"/>
    <b v="0"/>
    <m/>
    <b v="0"/>
    <m/>
    <n v="68"/>
    <n v="79"/>
    <n v="79"/>
    <b v="0"/>
    <m/>
    <x v="0"/>
    <m/>
    <x v="5"/>
    <x v="2"/>
    <n v="12"/>
    <s v="Baixa responsividade nas etapas iniciais."/>
  </r>
  <r>
    <n v="551"/>
    <s v="Raquel Silva"/>
    <s v="ana-sophiafarias@cunha.com"/>
    <s v="REQ-1091"/>
    <x v="3"/>
    <s v="Operations"/>
    <s v="Campinas"/>
    <s v="Híbrido"/>
    <x v="3"/>
    <x v="110"/>
    <s v="Davi"/>
    <x v="5"/>
    <x v="4"/>
    <x v="0"/>
    <d v="2025-02-01T00:00:00"/>
    <d v="2025-02-05T00:00:00"/>
    <b v="1"/>
    <n v="5"/>
    <b v="0"/>
    <m/>
    <b v="0"/>
    <m/>
    <b v="0"/>
    <m/>
    <n v="90"/>
    <n v="71"/>
    <n v="75"/>
    <b v="0"/>
    <m/>
    <x v="0"/>
    <m/>
    <x v="1"/>
    <x v="0"/>
    <n v="4"/>
    <s v="Pediu prazo adicional para retorno."/>
  </r>
  <r>
    <n v="552"/>
    <s v="Sr. Luigi Viana"/>
    <s v="wda-cunha@nunes.br"/>
    <s v="REQ-1074"/>
    <x v="2"/>
    <s v="People"/>
    <s v="Curitiba"/>
    <s v="Presencial"/>
    <x v="0"/>
    <x v="121"/>
    <s v="Stella"/>
    <x v="4"/>
    <x v="1"/>
    <x v="0"/>
    <d v="2025-05-08T00:00:00"/>
    <d v="2025-05-08T00:00:00"/>
    <b v="1"/>
    <n v="12"/>
    <b v="1"/>
    <d v="2025-05-11T00:00:00"/>
    <b v="1"/>
    <d v="2025-05-24T00:00:00"/>
    <b v="1"/>
    <d v="2025-05-26T00:00:00"/>
    <n v="70"/>
    <n v="72"/>
    <n v="73"/>
    <b v="0"/>
    <m/>
    <x v="0"/>
    <m/>
    <x v="0"/>
    <x v="4"/>
    <n v="18"/>
    <s v="Demonstrou interesse claro na oportunidade."/>
  </r>
  <r>
    <n v="553"/>
    <s v="Yuri Moraes"/>
    <s v="bmonteiro@bol.com.br"/>
    <s v="REQ-1060"/>
    <x v="3"/>
    <s v="Operations"/>
    <s v="Campinas"/>
    <s v="Híbrido"/>
    <x v="3"/>
    <x v="19"/>
    <s v="Lorenzo"/>
    <x v="0"/>
    <x v="1"/>
    <x v="3"/>
    <d v="2025-05-25T00:00:00"/>
    <d v="2025-05-25T00:00:00"/>
    <b v="0"/>
    <m/>
    <b v="0"/>
    <m/>
    <b v="0"/>
    <m/>
    <b v="0"/>
    <m/>
    <n v="85"/>
    <n v="76"/>
    <n v="69"/>
    <b v="0"/>
    <m/>
    <x v="0"/>
    <m/>
    <x v="2"/>
    <x v="1"/>
    <n v="0"/>
    <s v="Perfil técnico acima da média."/>
  </r>
  <r>
    <n v="554"/>
    <s v="Giovanna Pinto"/>
    <s v="agatha74@uol.com.br"/>
    <s v="REQ-1049"/>
    <x v="2"/>
    <s v="People"/>
    <s v="Curitiba"/>
    <s v="Remoto"/>
    <x v="0"/>
    <x v="65"/>
    <s v="Natália"/>
    <x v="3"/>
    <x v="6"/>
    <x v="2"/>
    <d v="2025-02-09T00:00:00"/>
    <d v="2025-02-09T00:00:00"/>
    <b v="1"/>
    <n v="12"/>
    <b v="1"/>
    <d v="2025-02-15T00:00:00"/>
    <b v="1"/>
    <d v="2025-03-01T00:00:00"/>
    <b v="1"/>
    <d v="2025-03-11T00:00:00"/>
    <n v="82"/>
    <n v="78"/>
    <n v="87"/>
    <b v="1"/>
    <d v="2025-03-15T00:00:00"/>
    <x v="1"/>
    <d v="2025-03-16T00:00:00"/>
    <x v="4"/>
    <x v="0"/>
    <n v="35"/>
    <s v="Pediu prazo adicional para retorno."/>
  </r>
  <r>
    <n v="555"/>
    <s v="Daniel Ribeiro"/>
    <s v="marcela72@bol.com.br"/>
    <s v="REQ-1084"/>
    <x v="1"/>
    <s v="People"/>
    <s v="Rio de Janeiro"/>
    <s v="Remoto"/>
    <x v="0"/>
    <x v="12"/>
    <s v="Ana Carolina"/>
    <x v="4"/>
    <x v="7"/>
    <x v="3"/>
    <d v="2025-01-03T00:00:00"/>
    <d v="2025-01-04T00:00:00"/>
    <b v="1"/>
    <n v="3"/>
    <b v="0"/>
    <m/>
    <b v="0"/>
    <m/>
    <b v="0"/>
    <m/>
    <n v="77"/>
    <n v="53"/>
    <n v="55"/>
    <b v="0"/>
    <m/>
    <x v="0"/>
    <m/>
    <x v="1"/>
    <x v="0"/>
    <n v="1"/>
    <s v="Perfil técnico acima da média."/>
  </r>
  <r>
    <n v="556"/>
    <s v="Isis da Conceição"/>
    <s v="yasminda-cunha@souza.com"/>
    <s v="REQ-1027"/>
    <x v="2"/>
    <s v="Data"/>
    <s v="Belo Horizonte"/>
    <s v="Híbrido"/>
    <x v="1"/>
    <x v="88"/>
    <s v="Noah"/>
    <x v="4"/>
    <x v="7"/>
    <x v="0"/>
    <d v="2025-05-06T00:00:00"/>
    <d v="2025-05-09T00:00:00"/>
    <b v="1"/>
    <n v="10"/>
    <b v="1"/>
    <d v="2025-05-14T00:00:00"/>
    <b v="0"/>
    <m/>
    <b v="0"/>
    <m/>
    <n v="78"/>
    <n v="62"/>
    <n v="71"/>
    <b v="0"/>
    <m/>
    <x v="0"/>
    <m/>
    <x v="5"/>
    <x v="0"/>
    <n v="8"/>
    <s v="Boa comunicação e resposta rápida."/>
  </r>
  <r>
    <n v="557"/>
    <s v="Luiz Miguel Gonçalves"/>
    <s v="antonioda-conceicao@bol.com.br"/>
    <s v="REQ-1035"/>
    <x v="3"/>
    <s v="People"/>
    <s v="Curitiba"/>
    <s v="Presencial"/>
    <x v="0"/>
    <x v="60"/>
    <s v="Diogo"/>
    <x v="4"/>
    <x v="2"/>
    <x v="0"/>
    <d v="2025-05-05T00:00:00"/>
    <d v="2025-05-09T00:00:00"/>
    <b v="1"/>
    <n v="5"/>
    <b v="1"/>
    <d v="2025-05-19T00:00:00"/>
    <b v="1"/>
    <d v="2025-06-02T00:00:00"/>
    <b v="1"/>
    <d v="2025-06-03T00:00:00"/>
    <n v="93"/>
    <n v="61"/>
    <n v="81"/>
    <b v="0"/>
    <m/>
    <x v="0"/>
    <m/>
    <x v="0"/>
    <x v="7"/>
    <n v="29"/>
    <s v="Perfil técnico acima da média."/>
  </r>
  <r>
    <n v="558"/>
    <s v="Dr. Kevin Barbosa"/>
    <s v="ferreiraana-vitoria@hotmail.com"/>
    <s v="REQ-1005"/>
    <x v="3"/>
    <s v="Data"/>
    <s v="Campinas"/>
    <s v="Híbrido"/>
    <x v="1"/>
    <x v="11"/>
    <s v="Caroline"/>
    <x v="2"/>
    <x v="2"/>
    <x v="0"/>
    <d v="2025-03-14T00:00:00"/>
    <d v="2025-03-14T00:00:00"/>
    <b v="0"/>
    <m/>
    <b v="0"/>
    <m/>
    <b v="0"/>
    <m/>
    <b v="0"/>
    <m/>
    <n v="69"/>
    <n v="74"/>
    <n v="71"/>
    <b v="0"/>
    <m/>
    <x v="0"/>
    <m/>
    <x v="2"/>
    <x v="1"/>
    <n v="0"/>
    <s v="Bom potencial de evolução."/>
  </r>
  <r>
    <n v="559"/>
    <s v="Ana Laura Nogueira"/>
    <s v="brenda16@ramos.com"/>
    <s v="REQ-1016"/>
    <x v="2"/>
    <s v="People"/>
    <s v="Remote"/>
    <s v="Presencial"/>
    <x v="3"/>
    <x v="31"/>
    <s v="Cecília"/>
    <x v="3"/>
    <x v="6"/>
    <x v="3"/>
    <d v="2025-02-21T00:00:00"/>
    <d v="2025-02-22T00:00:00"/>
    <b v="1"/>
    <n v="10"/>
    <b v="0"/>
    <m/>
    <b v="0"/>
    <m/>
    <b v="0"/>
    <m/>
    <n v="95"/>
    <n v="76"/>
    <n v="77"/>
    <b v="0"/>
    <m/>
    <x v="0"/>
    <m/>
    <x v="1"/>
    <x v="0"/>
    <n v="1"/>
    <s v="Experiência sólida, mas expectativa salarial alta."/>
  </r>
  <r>
    <n v="560"/>
    <s v="Calebe das Neves"/>
    <s v="juanda-mata@almeida.br"/>
    <s v="REQ-1077"/>
    <x v="0"/>
    <s v="Tech"/>
    <s v="Curitiba"/>
    <s v="Híbrido"/>
    <x v="1"/>
    <x v="90"/>
    <s v="Enzo Gabriel"/>
    <x v="2"/>
    <x v="0"/>
    <x v="1"/>
    <d v="2025-01-20T00:00:00"/>
    <d v="2025-01-23T00:00:00"/>
    <b v="0"/>
    <m/>
    <b v="0"/>
    <m/>
    <b v="0"/>
    <m/>
    <b v="0"/>
    <m/>
    <n v="80"/>
    <n v="62"/>
    <n v="73"/>
    <b v="0"/>
    <m/>
    <x v="0"/>
    <m/>
    <x v="2"/>
    <x v="1"/>
    <n v="3"/>
    <s v="Pediu prazo adicional para retorno."/>
  </r>
  <r>
    <n v="561"/>
    <s v="Srta. Pietra Dias"/>
    <s v="dteixeira@nogueira.com"/>
    <s v="REQ-1068"/>
    <x v="0"/>
    <s v="Operations"/>
    <s v="Campinas"/>
    <s v="Presencial"/>
    <x v="2"/>
    <x v="16"/>
    <s v="Lucas Gabriel"/>
    <x v="2"/>
    <x v="4"/>
    <x v="3"/>
    <d v="2025-01-23T00:00:00"/>
    <d v="2025-01-28T00:00:00"/>
    <b v="1"/>
    <n v="1"/>
    <b v="0"/>
    <m/>
    <b v="0"/>
    <m/>
    <b v="0"/>
    <m/>
    <n v="59"/>
    <n v="64"/>
    <n v="57"/>
    <b v="0"/>
    <m/>
    <x v="0"/>
    <m/>
    <x v="1"/>
    <x v="0"/>
    <n v="5"/>
    <s v="Boa comunicação e resposta rápida."/>
  </r>
  <r>
    <n v="562"/>
    <s v="Vitor Nascimento"/>
    <s v="luiz-gustavofernandes@uol.com.br"/>
    <s v="REQ-1070"/>
    <x v="0"/>
    <s v="Data"/>
    <s v="Curitiba"/>
    <s v="Remoto"/>
    <x v="2"/>
    <x v="73"/>
    <s v="Alexandre"/>
    <x v="4"/>
    <x v="2"/>
    <x v="3"/>
    <d v="2025-04-14T00:00:00"/>
    <d v="2025-04-18T00:00:00"/>
    <b v="0"/>
    <m/>
    <b v="0"/>
    <m/>
    <b v="0"/>
    <m/>
    <b v="0"/>
    <m/>
    <n v="59"/>
    <n v="64"/>
    <n v="67"/>
    <b v="0"/>
    <m/>
    <x v="0"/>
    <m/>
    <x v="2"/>
    <x v="1"/>
    <n v="4"/>
    <s v="Baixa responsividade nas etapas iniciais."/>
  </r>
  <r>
    <n v="563"/>
    <s v="Bárbara Teixeira"/>
    <s v="da-conceicaoana@ig.com.br"/>
    <s v="REQ-1004"/>
    <x v="2"/>
    <s v="Operations"/>
    <s v="Remote"/>
    <s v="Presencial"/>
    <x v="0"/>
    <x v="48"/>
    <s v="Pedro"/>
    <x v="5"/>
    <x v="4"/>
    <x v="2"/>
    <d v="2025-02-03T00:00:00"/>
    <d v="2025-02-03T00:00:00"/>
    <b v="1"/>
    <n v="2"/>
    <b v="0"/>
    <m/>
    <b v="0"/>
    <m/>
    <b v="0"/>
    <m/>
    <n v="82"/>
    <n v="95"/>
    <n v="86"/>
    <b v="0"/>
    <m/>
    <x v="0"/>
    <m/>
    <x v="1"/>
    <x v="0"/>
    <n v="0"/>
    <s v="Bom potencial de evolução."/>
  </r>
  <r>
    <n v="564"/>
    <s v="Felipe Ramos"/>
    <s v="davipeixoto@hotmail.com"/>
    <s v="REQ-1069"/>
    <x v="0"/>
    <s v="Tech"/>
    <s v="São Paulo"/>
    <s v="Presencial"/>
    <x v="2"/>
    <x v="100"/>
    <s v="Enzo Gabriel"/>
    <x v="3"/>
    <x v="1"/>
    <x v="3"/>
    <d v="2025-02-13T00:00:00"/>
    <d v="2025-02-15T00:00:00"/>
    <b v="0"/>
    <m/>
    <b v="0"/>
    <m/>
    <b v="0"/>
    <m/>
    <b v="0"/>
    <m/>
    <n v="94"/>
    <n v="77"/>
    <n v="100"/>
    <b v="0"/>
    <m/>
    <x v="0"/>
    <m/>
    <x v="2"/>
    <x v="1"/>
    <n v="2"/>
    <s v="Baixa responsividade nas etapas iniciais."/>
  </r>
  <r>
    <n v="565"/>
    <s v="Lavínia Dias"/>
    <s v="monteiromaria-eduarda@yahoo.com.br"/>
    <s v="REQ-1041"/>
    <x v="1"/>
    <s v="Tech"/>
    <s v="Rio de Janeiro"/>
    <s v="Remoto"/>
    <x v="2"/>
    <x v="9"/>
    <s v="Brenda"/>
    <x v="4"/>
    <x v="2"/>
    <x v="0"/>
    <d v="2025-04-14T00:00:00"/>
    <d v="2025-04-14T00:00:00"/>
    <b v="1"/>
    <n v="10"/>
    <b v="1"/>
    <d v="2025-04-18T00:00:00"/>
    <b v="1"/>
    <d v="2025-04-20T00:00:00"/>
    <b v="1"/>
    <d v="2025-04-28T00:00:00"/>
    <n v="81"/>
    <n v="72"/>
    <n v="77"/>
    <b v="0"/>
    <m/>
    <x v="0"/>
    <m/>
    <x v="0"/>
    <x v="0"/>
    <n v="14"/>
    <s v="Feedback positivo do gestor."/>
  </r>
  <r>
    <n v="566"/>
    <s v="Noah Silveira"/>
    <s v="gpeixoto@gmail.com"/>
    <s v="REQ-1075"/>
    <x v="1"/>
    <s v="Operations"/>
    <s v="Curitiba"/>
    <s v="Remoto"/>
    <x v="0"/>
    <x v="43"/>
    <s v="Caio"/>
    <x v="0"/>
    <x v="7"/>
    <x v="2"/>
    <d v="2025-01-04T00:00:00"/>
    <d v="2025-01-04T00:00:00"/>
    <b v="0"/>
    <m/>
    <b v="0"/>
    <m/>
    <b v="0"/>
    <m/>
    <b v="0"/>
    <m/>
    <n v="68"/>
    <n v="79"/>
    <n v="84"/>
    <b v="0"/>
    <m/>
    <x v="0"/>
    <m/>
    <x v="2"/>
    <x v="1"/>
    <n v="0"/>
    <s v="Perfil técnico acima da média."/>
  </r>
  <r>
    <n v="567"/>
    <s v="Maria Barbosa"/>
    <s v="noahnogueira@hotmail.com"/>
    <s v="REQ-1026"/>
    <x v="1"/>
    <s v="Data"/>
    <s v="Belo Horizonte"/>
    <s v="Presencial"/>
    <x v="1"/>
    <x v="56"/>
    <s v="Kamilly"/>
    <x v="1"/>
    <x v="6"/>
    <x v="2"/>
    <d v="2025-01-21T00:00:00"/>
    <d v="2025-01-22T00:00:00"/>
    <b v="1"/>
    <n v="0"/>
    <b v="1"/>
    <d v="2025-01-29T00:00:00"/>
    <b v="1"/>
    <d v="2025-01-31T00:00:00"/>
    <b v="1"/>
    <d v="2025-02-02T00:00:00"/>
    <n v="65"/>
    <n v="91"/>
    <n v="76"/>
    <b v="0"/>
    <m/>
    <x v="0"/>
    <m/>
    <x v="0"/>
    <x v="3"/>
    <n v="12"/>
    <s v="Boa comunicação e resposta rápida."/>
  </r>
  <r>
    <n v="568"/>
    <s v="Isadora Duarte"/>
    <s v="bruna00@ribeiro.org"/>
    <s v="REQ-1012"/>
    <x v="0"/>
    <s v="Operations"/>
    <s v="Rio de Janeiro"/>
    <s v="Presencial"/>
    <x v="0"/>
    <x v="44"/>
    <s v="Ana Carolina"/>
    <x v="4"/>
    <x v="0"/>
    <x v="0"/>
    <d v="2025-05-31T00:00:00"/>
    <d v="2025-05-31T00:00:00"/>
    <b v="1"/>
    <n v="6"/>
    <b v="1"/>
    <d v="2025-06-07T00:00:00"/>
    <b v="1"/>
    <d v="2025-06-21T00:00:00"/>
    <b v="1"/>
    <d v="2025-06-23T00:00:00"/>
    <n v="91"/>
    <n v="89"/>
    <n v="92"/>
    <b v="1"/>
    <d v="2025-06-25T00:00:00"/>
    <x v="0"/>
    <m/>
    <x v="6"/>
    <x v="0"/>
    <n v="25"/>
    <s v="Experiência sólida, mas expectativa salarial alta."/>
  </r>
  <r>
    <n v="569"/>
    <s v="Sra. Caroline Castro"/>
    <s v="vcardoso@ig.com.br"/>
    <s v="REQ-1090"/>
    <x v="2"/>
    <s v="People"/>
    <s v="Rio de Janeiro"/>
    <s v="Híbrido"/>
    <x v="1"/>
    <x v="43"/>
    <s v="Maitê"/>
    <x v="5"/>
    <x v="0"/>
    <x v="0"/>
    <d v="2025-03-20T00:00:00"/>
    <d v="2025-03-22T00:00:00"/>
    <b v="1"/>
    <n v="1"/>
    <b v="1"/>
    <d v="2025-03-30T00:00:00"/>
    <b v="0"/>
    <m/>
    <b v="0"/>
    <m/>
    <n v="78"/>
    <n v="66"/>
    <n v="81"/>
    <b v="0"/>
    <m/>
    <x v="0"/>
    <m/>
    <x v="5"/>
    <x v="0"/>
    <n v="10"/>
    <s v="Baixa responsividade nas etapas iniciais."/>
  </r>
  <r>
    <n v="570"/>
    <s v="Julia Pereira"/>
    <s v="freitasmarcos-vinicius@melo.com"/>
    <s v="REQ-1093"/>
    <x v="3"/>
    <s v="People"/>
    <s v="Curitiba"/>
    <s v="Presencial"/>
    <x v="0"/>
    <x v="63"/>
    <s v="Pietra"/>
    <x v="4"/>
    <x v="2"/>
    <x v="2"/>
    <d v="2025-05-17T00:00:00"/>
    <d v="2025-05-20T00:00:00"/>
    <b v="0"/>
    <m/>
    <b v="0"/>
    <m/>
    <b v="0"/>
    <m/>
    <b v="0"/>
    <m/>
    <n v="80"/>
    <n v="75"/>
    <n v="69"/>
    <b v="0"/>
    <m/>
    <x v="0"/>
    <m/>
    <x v="2"/>
    <x v="1"/>
    <n v="3"/>
    <s v="Perfil técnico acima da média."/>
  </r>
  <r>
    <n v="571"/>
    <s v="Mirella Peixoto"/>
    <s v="joao-gabrielcardoso@santos.com"/>
    <s v="REQ-1000"/>
    <x v="0"/>
    <s v="Tech"/>
    <s v="São Paulo"/>
    <s v="Remoto"/>
    <x v="0"/>
    <x v="13"/>
    <s v="Luiz Gustavo"/>
    <x v="2"/>
    <x v="6"/>
    <x v="3"/>
    <d v="2025-05-28T00:00:00"/>
    <d v="2025-05-29T00:00:00"/>
    <b v="0"/>
    <m/>
    <b v="0"/>
    <m/>
    <b v="0"/>
    <m/>
    <b v="0"/>
    <m/>
    <n v="68"/>
    <n v="77"/>
    <n v="68"/>
    <b v="0"/>
    <m/>
    <x v="0"/>
    <m/>
    <x v="2"/>
    <x v="1"/>
    <n v="1"/>
    <s v="Boa comunicação e resposta rápida."/>
  </r>
  <r>
    <n v="572"/>
    <s v="Benjamin Silva"/>
    <s v="arthuralmeida@ig.com.br"/>
    <s v="REQ-1046"/>
    <x v="1"/>
    <s v="Data"/>
    <s v="Remote"/>
    <s v="Presencial"/>
    <x v="1"/>
    <x v="8"/>
    <s v="Sophia"/>
    <x v="3"/>
    <x v="1"/>
    <x v="1"/>
    <d v="2025-05-18T00:00:00"/>
    <d v="2025-05-23T00:00:00"/>
    <b v="1"/>
    <n v="0"/>
    <b v="1"/>
    <d v="2025-05-31T00:00:00"/>
    <b v="1"/>
    <d v="2025-06-06T00:00:00"/>
    <b v="1"/>
    <d v="2025-06-11T00:00:00"/>
    <n v="78"/>
    <n v="75"/>
    <n v="75"/>
    <b v="1"/>
    <d v="2025-06-15T00:00:00"/>
    <x v="1"/>
    <d v="2025-06-17T00:00:00"/>
    <x v="4"/>
    <x v="0"/>
    <n v="30"/>
    <s v="Feedback positivo do gestor."/>
  </r>
  <r>
    <n v="573"/>
    <s v="Pedro Lucas da Luz"/>
    <s v="rodrigo95@rezende.br"/>
    <s v="REQ-1084"/>
    <x v="2"/>
    <s v="Tech"/>
    <s v="Remote"/>
    <s v="Presencial"/>
    <x v="1"/>
    <x v="116"/>
    <s v="Pedro"/>
    <x v="0"/>
    <x v="5"/>
    <x v="0"/>
    <d v="2025-01-21T00:00:00"/>
    <d v="2025-01-22T00:00:00"/>
    <b v="1"/>
    <n v="6"/>
    <b v="1"/>
    <d v="2025-02-01T00:00:00"/>
    <b v="1"/>
    <d v="2025-02-09T00:00:00"/>
    <b v="1"/>
    <d v="2025-02-10T00:00:00"/>
    <n v="80"/>
    <n v="79"/>
    <n v="89"/>
    <b v="1"/>
    <d v="2025-02-17T00:00:00"/>
    <x v="1"/>
    <d v="2025-02-25T00:00:00"/>
    <x v="4"/>
    <x v="0"/>
    <n v="35"/>
    <s v="Perfil técnico acima da média."/>
  </r>
  <r>
    <n v="574"/>
    <s v="Nina Oliveira"/>
    <s v="fogacaalana@ferreira.com"/>
    <s v="REQ-1092"/>
    <x v="0"/>
    <s v="People"/>
    <s v="Rio de Janeiro"/>
    <s v="Remoto"/>
    <x v="1"/>
    <x v="46"/>
    <s v="Eduarda"/>
    <x v="4"/>
    <x v="1"/>
    <x v="1"/>
    <d v="2025-04-09T00:00:00"/>
    <d v="2025-04-09T00:00:00"/>
    <b v="1"/>
    <n v="8"/>
    <b v="0"/>
    <m/>
    <b v="0"/>
    <m/>
    <b v="0"/>
    <m/>
    <n v="64"/>
    <n v="66"/>
    <n v="53"/>
    <b v="0"/>
    <m/>
    <x v="0"/>
    <m/>
    <x v="1"/>
    <x v="1"/>
    <n v="0"/>
    <s v="Pontos fortes em execução e autonomia."/>
  </r>
  <r>
    <n v="575"/>
    <s v="Elisa Cavalcanti"/>
    <s v="ucavalcanti@uol.com.br"/>
    <s v="REQ-1026"/>
    <x v="2"/>
    <s v="Data"/>
    <s v="Rio de Janeiro"/>
    <s v="Remoto"/>
    <x v="3"/>
    <x v="120"/>
    <s v="Davi Luiz"/>
    <x v="0"/>
    <x v="1"/>
    <x v="0"/>
    <d v="2025-01-18T00:00:00"/>
    <d v="2025-01-23T00:00:00"/>
    <b v="1"/>
    <n v="4"/>
    <b v="1"/>
    <d v="2025-01-27T00:00:00"/>
    <b v="1"/>
    <d v="2025-02-09T00:00:00"/>
    <b v="1"/>
    <d v="2025-02-15T00:00:00"/>
    <n v="92"/>
    <n v="73"/>
    <n v="83"/>
    <b v="1"/>
    <d v="2025-02-19T00:00:00"/>
    <x v="0"/>
    <m/>
    <x v="6"/>
    <x v="0"/>
    <n v="32"/>
    <s v="Apresentou aderência forte ao contexto da vaga."/>
  </r>
  <r>
    <n v="576"/>
    <s v="Joaquim Araújo"/>
    <s v="tpeixoto@yahoo.com.br"/>
    <s v="REQ-1009"/>
    <x v="1"/>
    <s v="Tech"/>
    <s v="Curitiba"/>
    <s v="Presencial"/>
    <x v="0"/>
    <x v="60"/>
    <s v="Pedro Miguel"/>
    <x v="3"/>
    <x v="7"/>
    <x v="2"/>
    <d v="2025-02-01T00:00:00"/>
    <d v="2025-02-02T00:00:00"/>
    <b v="1"/>
    <n v="5"/>
    <b v="0"/>
    <m/>
    <b v="0"/>
    <m/>
    <b v="0"/>
    <m/>
    <n v="77"/>
    <n v="74"/>
    <n v="65"/>
    <b v="0"/>
    <m/>
    <x v="0"/>
    <m/>
    <x v="1"/>
    <x v="0"/>
    <n v="1"/>
    <s v="Bom potencial de evolução."/>
  </r>
  <r>
    <n v="577"/>
    <s v="Sr. Kevin Correia"/>
    <s v="araujobreno@martins.com"/>
    <s v="REQ-1072"/>
    <x v="3"/>
    <s v="Data"/>
    <s v="Campinas"/>
    <s v="Híbrido"/>
    <x v="1"/>
    <x v="28"/>
    <s v="Beatriz"/>
    <x v="2"/>
    <x v="4"/>
    <x v="0"/>
    <d v="2025-04-06T00:00:00"/>
    <d v="2025-04-06T00:00:00"/>
    <b v="0"/>
    <m/>
    <b v="0"/>
    <m/>
    <b v="0"/>
    <m/>
    <b v="0"/>
    <m/>
    <n v="66"/>
    <n v="85"/>
    <n v="71"/>
    <b v="0"/>
    <m/>
    <x v="0"/>
    <m/>
    <x v="2"/>
    <x v="1"/>
    <n v="0"/>
    <s v="Pediu prazo adicional para retorno."/>
  </r>
  <r>
    <n v="578"/>
    <s v="Benício Fernandes"/>
    <s v="moreiramilena@da.com"/>
    <s v="REQ-1061"/>
    <x v="2"/>
    <s v="Tech"/>
    <s v="Remote"/>
    <s v="Presencial"/>
    <x v="0"/>
    <x v="12"/>
    <s v="Pedro Miguel"/>
    <x v="0"/>
    <x v="1"/>
    <x v="1"/>
    <d v="2025-05-12T00:00:00"/>
    <d v="2025-05-14T00:00:00"/>
    <b v="1"/>
    <n v="8"/>
    <b v="1"/>
    <d v="2025-05-19T00:00:00"/>
    <b v="0"/>
    <m/>
    <b v="0"/>
    <m/>
    <n v="91"/>
    <n v="66"/>
    <n v="77"/>
    <b v="0"/>
    <m/>
    <x v="0"/>
    <m/>
    <x v="5"/>
    <x v="1"/>
    <n v="7"/>
    <s v="Experiência sólida, mas expectativa salarial alta."/>
  </r>
  <r>
    <n v="579"/>
    <s v="Luna Pereira"/>
    <s v="nda-conceicao@monteiro.com"/>
    <s v="REQ-1010"/>
    <x v="1"/>
    <s v="Tech"/>
    <s v="Rio de Janeiro"/>
    <s v="Híbrido"/>
    <x v="1"/>
    <x v="27"/>
    <s v="Juan"/>
    <x v="4"/>
    <x v="6"/>
    <x v="3"/>
    <d v="2025-02-27T00:00:00"/>
    <d v="2025-03-05T00:00:00"/>
    <b v="0"/>
    <m/>
    <b v="0"/>
    <m/>
    <b v="0"/>
    <m/>
    <b v="0"/>
    <m/>
    <n v="77"/>
    <n v="81"/>
    <n v="76"/>
    <b v="0"/>
    <m/>
    <x v="0"/>
    <m/>
    <x v="2"/>
    <x v="1"/>
    <n v="6"/>
    <s v="Feedback positivo do gestor."/>
  </r>
  <r>
    <n v="580"/>
    <s v="Lucas Lopes"/>
    <s v="tbarbosa@ig.com.br"/>
    <s v="REQ-1002"/>
    <x v="1"/>
    <s v="Data"/>
    <s v="Rio de Janeiro"/>
    <s v="Presencial"/>
    <x v="1"/>
    <x v="6"/>
    <s v="Beatriz"/>
    <x v="5"/>
    <x v="7"/>
    <x v="1"/>
    <d v="2025-05-29T00:00:00"/>
    <d v="2025-05-30T00:00:00"/>
    <b v="0"/>
    <m/>
    <b v="0"/>
    <m/>
    <b v="0"/>
    <m/>
    <b v="0"/>
    <m/>
    <n v="74"/>
    <n v="72"/>
    <n v="67"/>
    <b v="0"/>
    <m/>
    <x v="0"/>
    <m/>
    <x v="2"/>
    <x v="1"/>
    <n v="1"/>
    <s v="Feedback positivo do gestor."/>
  </r>
  <r>
    <n v="581"/>
    <s v="Caroline da Rosa"/>
    <s v="nfogaca@yahoo.com.br"/>
    <s v="REQ-1064"/>
    <x v="1"/>
    <s v="Operations"/>
    <s v="Belo Horizonte"/>
    <s v="Remoto"/>
    <x v="0"/>
    <x v="48"/>
    <s v="Rebeca"/>
    <x v="2"/>
    <x v="0"/>
    <x v="3"/>
    <d v="2025-01-04T00:00:00"/>
    <d v="2025-01-07T00:00:00"/>
    <b v="1"/>
    <n v="6"/>
    <b v="1"/>
    <d v="2025-01-13T00:00:00"/>
    <b v="1"/>
    <d v="2025-01-17T00:00:00"/>
    <b v="1"/>
    <d v="2025-01-19T00:00:00"/>
    <n v="81"/>
    <n v="90"/>
    <n v="85"/>
    <b v="0"/>
    <m/>
    <x v="0"/>
    <m/>
    <x v="0"/>
    <x v="0"/>
    <n v="15"/>
    <s v="Demonstrou interesse claro na oportunidade."/>
  </r>
  <r>
    <n v="582"/>
    <s v="Ana Sophia Moura"/>
    <s v="diogopeixoto@yahoo.com.br"/>
    <s v="REQ-1007"/>
    <x v="3"/>
    <s v="People"/>
    <s v="Rio de Janeiro"/>
    <s v="Remoto"/>
    <x v="1"/>
    <x v="58"/>
    <s v="Ana Laura"/>
    <x v="2"/>
    <x v="1"/>
    <x v="3"/>
    <d v="2025-04-28T00:00:00"/>
    <d v="2025-04-28T00:00:00"/>
    <b v="1"/>
    <n v="4"/>
    <b v="0"/>
    <m/>
    <b v="0"/>
    <m/>
    <b v="0"/>
    <m/>
    <n v="58"/>
    <n v="78"/>
    <n v="49"/>
    <b v="0"/>
    <m/>
    <x v="0"/>
    <m/>
    <x v="1"/>
    <x v="1"/>
    <n v="0"/>
    <s v="Demonstrou interesse claro na oportunidade."/>
  </r>
  <r>
    <n v="583"/>
    <s v="Luna Carvalho"/>
    <s v="joao-vitorda-conceicao@uol.com.br"/>
    <s v="REQ-1017"/>
    <x v="1"/>
    <s v="Data"/>
    <s v="Belo Horizonte"/>
    <s v="Remoto"/>
    <x v="2"/>
    <x v="84"/>
    <s v="Vitor Gabriel"/>
    <x v="0"/>
    <x v="5"/>
    <x v="1"/>
    <d v="2025-05-16T00:00:00"/>
    <d v="2025-05-20T00:00:00"/>
    <b v="1"/>
    <n v="12"/>
    <b v="0"/>
    <m/>
    <b v="0"/>
    <m/>
    <b v="0"/>
    <m/>
    <n v="60"/>
    <n v="80"/>
    <n v="77"/>
    <b v="0"/>
    <m/>
    <x v="0"/>
    <m/>
    <x v="1"/>
    <x v="0"/>
    <n v="4"/>
    <s v="Bom potencial de evolução."/>
  </r>
  <r>
    <n v="584"/>
    <s v="Ana Vitória Pinto"/>
    <s v="irodrigues@hotmail.com"/>
    <s v="REQ-1038"/>
    <x v="1"/>
    <s v="People"/>
    <s v="São Paulo"/>
    <s v="Remoto"/>
    <x v="0"/>
    <x v="60"/>
    <s v="Letícia"/>
    <x v="1"/>
    <x v="5"/>
    <x v="2"/>
    <d v="2025-01-05T00:00:00"/>
    <d v="2025-01-11T00:00:00"/>
    <b v="0"/>
    <m/>
    <b v="0"/>
    <m/>
    <b v="0"/>
    <m/>
    <b v="0"/>
    <m/>
    <n v="55"/>
    <n v="61"/>
    <n v="79"/>
    <b v="0"/>
    <m/>
    <x v="0"/>
    <m/>
    <x v="2"/>
    <x v="1"/>
    <n v="6"/>
    <s v="Pediu prazo adicional para retorno."/>
  </r>
  <r>
    <n v="585"/>
    <s v="Clarice Moraes"/>
    <s v="kribeiro@hotmail.com"/>
    <s v="REQ-1045"/>
    <x v="1"/>
    <s v="People"/>
    <s v="Rio de Janeiro"/>
    <s v="Presencial"/>
    <x v="1"/>
    <x v="53"/>
    <s v="Daniel"/>
    <x v="5"/>
    <x v="7"/>
    <x v="3"/>
    <d v="2025-05-30T00:00:00"/>
    <d v="2025-06-07T00:00:00"/>
    <b v="0"/>
    <m/>
    <b v="0"/>
    <m/>
    <b v="0"/>
    <m/>
    <b v="0"/>
    <m/>
    <n v="80"/>
    <n v="85"/>
    <n v="86"/>
    <b v="0"/>
    <m/>
    <x v="0"/>
    <m/>
    <x v="2"/>
    <x v="1"/>
    <n v="8"/>
    <s v="Perfil técnico acima da média."/>
  </r>
  <r>
    <n v="586"/>
    <s v="Henrique Lopes"/>
    <s v="hcorreia@hotmail.com"/>
    <s v="REQ-1080"/>
    <x v="3"/>
    <s v="Data"/>
    <s v="Rio de Janeiro"/>
    <s v="Presencial"/>
    <x v="2"/>
    <x v="71"/>
    <s v="Emilly"/>
    <x v="0"/>
    <x v="3"/>
    <x v="0"/>
    <d v="2025-01-29T00:00:00"/>
    <d v="2025-01-29T00:00:00"/>
    <b v="0"/>
    <m/>
    <b v="0"/>
    <m/>
    <b v="0"/>
    <m/>
    <b v="0"/>
    <m/>
    <n v="48"/>
    <n v="68"/>
    <n v="66"/>
    <b v="0"/>
    <m/>
    <x v="0"/>
    <m/>
    <x v="2"/>
    <x v="1"/>
    <n v="0"/>
    <s v="Bom potencial de evolução."/>
  </r>
  <r>
    <n v="587"/>
    <s v="Pedro Henrique Peixoto"/>
    <s v="rebeca01@silva.org"/>
    <s v="REQ-1095"/>
    <x v="2"/>
    <s v="Operations"/>
    <s v="Campinas"/>
    <s v="Remoto"/>
    <x v="0"/>
    <x v="18"/>
    <s v="Mirella"/>
    <x v="3"/>
    <x v="3"/>
    <x v="3"/>
    <d v="2025-03-25T00:00:00"/>
    <d v="2025-03-25T00:00:00"/>
    <b v="1"/>
    <n v="10"/>
    <b v="1"/>
    <d v="2025-04-04T00:00:00"/>
    <b v="0"/>
    <m/>
    <b v="0"/>
    <m/>
    <n v="86"/>
    <n v="82"/>
    <n v="77"/>
    <b v="0"/>
    <m/>
    <x v="0"/>
    <m/>
    <x v="5"/>
    <x v="7"/>
    <n v="10"/>
    <s v="Baixa responsividade nas etapas iniciais."/>
  </r>
  <r>
    <n v="588"/>
    <s v="Srta. Maria Eduarda Peixoto"/>
    <s v="joaoda-paz@hotmail.com"/>
    <s v="REQ-1037"/>
    <x v="3"/>
    <s v="People"/>
    <s v="Belo Horizonte"/>
    <s v="Remoto"/>
    <x v="2"/>
    <x v="29"/>
    <s v="Gabrielly"/>
    <x v="2"/>
    <x v="4"/>
    <x v="1"/>
    <d v="2025-01-11T00:00:00"/>
    <d v="2025-01-14T00:00:00"/>
    <b v="1"/>
    <n v="1"/>
    <b v="1"/>
    <d v="2025-01-18T00:00:00"/>
    <b v="1"/>
    <d v="2025-01-26T00:00:00"/>
    <b v="1"/>
    <d v="2025-02-04T00:00:00"/>
    <n v="67"/>
    <n v="48"/>
    <n v="57"/>
    <b v="0"/>
    <m/>
    <x v="0"/>
    <m/>
    <x v="0"/>
    <x v="3"/>
    <n v="24"/>
    <s v="Pediu prazo adicional para retorno."/>
  </r>
  <r>
    <n v="589"/>
    <s v="Bruna da Mata"/>
    <s v="ocardoso@silveira.com"/>
    <s v="REQ-1072"/>
    <x v="0"/>
    <s v="People"/>
    <s v="Curitiba"/>
    <s v="Presencial"/>
    <x v="1"/>
    <x v="25"/>
    <s v="Leonardo"/>
    <x v="4"/>
    <x v="5"/>
    <x v="1"/>
    <d v="2025-03-12T00:00:00"/>
    <d v="2025-03-12T00:00:00"/>
    <b v="1"/>
    <n v="1"/>
    <b v="1"/>
    <d v="2025-03-13T00:00:00"/>
    <b v="1"/>
    <d v="2025-03-16T00:00:00"/>
    <b v="0"/>
    <m/>
    <n v="75"/>
    <n v="87"/>
    <n v="77"/>
    <b v="0"/>
    <m/>
    <x v="0"/>
    <m/>
    <x v="3"/>
    <x v="0"/>
    <n v="4"/>
    <s v="Baixa responsividade nas etapas iniciais."/>
  </r>
  <r>
    <n v="590"/>
    <s v="Enzo Souza"/>
    <s v="ninasales@uol.com.br"/>
    <s v="REQ-1060"/>
    <x v="2"/>
    <s v="Data"/>
    <s v="Curitiba"/>
    <s v="Presencial"/>
    <x v="1"/>
    <x v="30"/>
    <s v="João Guilherme"/>
    <x v="2"/>
    <x v="3"/>
    <x v="3"/>
    <d v="2025-03-01T00:00:00"/>
    <d v="2025-03-04T00:00:00"/>
    <b v="0"/>
    <m/>
    <b v="0"/>
    <m/>
    <b v="0"/>
    <m/>
    <b v="0"/>
    <m/>
    <n v="81"/>
    <n v="65"/>
    <n v="81"/>
    <b v="0"/>
    <m/>
    <x v="0"/>
    <m/>
    <x v="2"/>
    <x v="1"/>
    <n v="3"/>
    <s v="Pontos fortes em execução e autonomia."/>
  </r>
  <r>
    <n v="591"/>
    <s v="Paulo Lima"/>
    <s v="smoreira@gmail.com"/>
    <s v="REQ-1036"/>
    <x v="2"/>
    <s v="Data"/>
    <s v="Rio de Janeiro"/>
    <s v="Remoto"/>
    <x v="0"/>
    <x v="98"/>
    <s v="Lavínia"/>
    <x v="4"/>
    <x v="2"/>
    <x v="1"/>
    <d v="2025-03-11T00:00:00"/>
    <d v="2025-03-11T00:00:00"/>
    <b v="0"/>
    <m/>
    <b v="0"/>
    <m/>
    <b v="0"/>
    <m/>
    <b v="0"/>
    <m/>
    <n v="87"/>
    <n v="70"/>
    <n v="78"/>
    <b v="0"/>
    <m/>
    <x v="0"/>
    <m/>
    <x v="2"/>
    <x v="1"/>
    <n v="0"/>
    <s v="Baixa responsividade nas etapas iniciais."/>
  </r>
  <r>
    <n v="592"/>
    <s v="Lavínia Dias"/>
    <s v="almeidajoao-miguel@araujo.com"/>
    <s v="REQ-1038"/>
    <x v="0"/>
    <s v="People"/>
    <s v="Curitiba"/>
    <s v="Remoto"/>
    <x v="1"/>
    <x v="6"/>
    <s v="Vitor"/>
    <x v="3"/>
    <x v="0"/>
    <x v="1"/>
    <d v="2025-02-07T00:00:00"/>
    <d v="2025-02-10T00:00:00"/>
    <b v="0"/>
    <m/>
    <b v="0"/>
    <m/>
    <b v="0"/>
    <m/>
    <b v="0"/>
    <m/>
    <n v="71"/>
    <n v="69"/>
    <n v="53"/>
    <b v="0"/>
    <m/>
    <x v="0"/>
    <m/>
    <x v="2"/>
    <x v="1"/>
    <n v="3"/>
    <s v="Demonstrou interesse claro na oportunidade."/>
  </r>
  <r>
    <n v="593"/>
    <s v="Srta. Ana Carolina Correia"/>
    <s v="guilherme09@melo.net"/>
    <s v="REQ-1016"/>
    <x v="2"/>
    <s v="People"/>
    <s v="São Paulo"/>
    <s v="Híbrido"/>
    <x v="0"/>
    <x v="1"/>
    <s v="Isabella"/>
    <x v="2"/>
    <x v="4"/>
    <x v="2"/>
    <d v="2025-01-25T00:00:00"/>
    <d v="2025-01-25T00:00:00"/>
    <b v="1"/>
    <n v="4"/>
    <b v="0"/>
    <m/>
    <b v="0"/>
    <m/>
    <b v="0"/>
    <m/>
    <n v="89"/>
    <n v="72"/>
    <n v="83"/>
    <b v="0"/>
    <m/>
    <x v="0"/>
    <m/>
    <x v="1"/>
    <x v="0"/>
    <n v="0"/>
    <s v="Pediu prazo adicional para retorno."/>
  </r>
  <r>
    <n v="594"/>
    <s v="Dr. Guilherme Correia"/>
    <s v="almeidavicente@silva.org"/>
    <s v="REQ-1099"/>
    <x v="3"/>
    <s v="People"/>
    <s v="São Paulo"/>
    <s v="Presencial"/>
    <x v="2"/>
    <x v="16"/>
    <s v="João Guilherme"/>
    <x v="0"/>
    <x v="5"/>
    <x v="1"/>
    <d v="2025-03-07T00:00:00"/>
    <d v="2025-03-09T00:00:00"/>
    <b v="1"/>
    <n v="10"/>
    <b v="0"/>
    <m/>
    <b v="0"/>
    <m/>
    <b v="0"/>
    <m/>
    <n v="78"/>
    <n v="77"/>
    <n v="63"/>
    <b v="0"/>
    <m/>
    <x v="0"/>
    <m/>
    <x v="1"/>
    <x v="0"/>
    <n v="2"/>
    <s v="Demonstrou interesse claro na oportunidade."/>
  </r>
  <r>
    <n v="595"/>
    <s v="Sra. Raquel Santos"/>
    <s v="ana-lauracunha@yahoo.com.br"/>
    <s v="REQ-1097"/>
    <x v="0"/>
    <s v="People"/>
    <s v="Remote"/>
    <s v="Presencial"/>
    <x v="1"/>
    <x v="61"/>
    <s v="João Guilherme"/>
    <x v="0"/>
    <x v="2"/>
    <x v="1"/>
    <d v="2025-01-22T00:00:00"/>
    <d v="2025-01-23T00:00:00"/>
    <b v="1"/>
    <n v="8"/>
    <b v="1"/>
    <d v="2025-01-25T00:00:00"/>
    <b v="1"/>
    <d v="2025-01-27T00:00:00"/>
    <b v="1"/>
    <d v="2025-02-03T00:00:00"/>
    <n v="57"/>
    <n v="70"/>
    <n v="62"/>
    <b v="0"/>
    <m/>
    <x v="0"/>
    <m/>
    <x v="0"/>
    <x v="3"/>
    <n v="12"/>
    <s v="Boa comunicação e resposta rápida."/>
  </r>
  <r>
    <n v="596"/>
    <s v="Clara Castro"/>
    <s v="rodrigueslevi@cunha.com"/>
    <s v="REQ-1064"/>
    <x v="1"/>
    <s v="People"/>
    <s v="Rio de Janeiro"/>
    <s v="Presencial"/>
    <x v="3"/>
    <x v="122"/>
    <s v="Ana Vitória"/>
    <x v="3"/>
    <x v="2"/>
    <x v="3"/>
    <d v="2025-03-19T00:00:00"/>
    <d v="2025-03-21T00:00:00"/>
    <b v="1"/>
    <n v="6"/>
    <b v="1"/>
    <d v="2025-03-22T00:00:00"/>
    <b v="1"/>
    <d v="2025-03-28T00:00:00"/>
    <b v="1"/>
    <d v="2025-03-29T00:00:00"/>
    <n v="88"/>
    <n v="77"/>
    <n v="77"/>
    <b v="1"/>
    <d v="2025-04-04T00:00:00"/>
    <x v="1"/>
    <d v="2025-04-16T00:00:00"/>
    <x v="4"/>
    <x v="0"/>
    <n v="28"/>
    <s v="Pontos fortes em execução e autonomia."/>
  </r>
  <r>
    <n v="597"/>
    <s v="Stella da Conceição"/>
    <s v="costelaenzo-gabriel@mendes.com"/>
    <s v="REQ-1071"/>
    <x v="1"/>
    <s v="Operations"/>
    <s v="Campinas"/>
    <s v="Presencial"/>
    <x v="3"/>
    <x v="77"/>
    <s v="Sophia"/>
    <x v="2"/>
    <x v="3"/>
    <x v="2"/>
    <d v="2025-04-06T00:00:00"/>
    <d v="2025-04-08T00:00:00"/>
    <b v="0"/>
    <m/>
    <b v="0"/>
    <m/>
    <b v="0"/>
    <m/>
    <b v="0"/>
    <m/>
    <n v="76"/>
    <n v="85"/>
    <n v="89"/>
    <b v="0"/>
    <m/>
    <x v="0"/>
    <m/>
    <x v="2"/>
    <x v="1"/>
    <n v="2"/>
    <s v="Pediu prazo adicional para retorno."/>
  </r>
  <r>
    <n v="598"/>
    <s v="Sra. Brenda Porto"/>
    <s v="iancarvalho@moreira.com"/>
    <s v="REQ-1049"/>
    <x v="1"/>
    <s v="People"/>
    <s v="Remote"/>
    <s v="Híbrido"/>
    <x v="2"/>
    <x v="90"/>
    <s v="Valentina"/>
    <x v="4"/>
    <x v="2"/>
    <x v="1"/>
    <d v="2025-01-06T00:00:00"/>
    <d v="2025-01-11T00:00:00"/>
    <b v="0"/>
    <m/>
    <b v="0"/>
    <m/>
    <b v="0"/>
    <m/>
    <b v="0"/>
    <m/>
    <n v="77"/>
    <n v="79"/>
    <n v="88"/>
    <b v="0"/>
    <m/>
    <x v="0"/>
    <m/>
    <x v="2"/>
    <x v="1"/>
    <n v="5"/>
    <s v="Pediu prazo adicional para retorno."/>
  </r>
  <r>
    <n v="599"/>
    <s v="Yasmin Nunes"/>
    <s v="xalmeida@caldeira.net"/>
    <s v="REQ-1003"/>
    <x v="3"/>
    <s v="Tech"/>
    <s v="São Paulo"/>
    <s v="Híbrido"/>
    <x v="1"/>
    <x v="50"/>
    <s v="Ian"/>
    <x v="0"/>
    <x v="0"/>
    <x v="0"/>
    <d v="2025-05-19T00:00:00"/>
    <d v="2025-05-22T00:00:00"/>
    <b v="0"/>
    <m/>
    <b v="0"/>
    <m/>
    <b v="0"/>
    <m/>
    <b v="0"/>
    <m/>
    <n v="46"/>
    <n v="79"/>
    <n v="62"/>
    <b v="0"/>
    <m/>
    <x v="0"/>
    <m/>
    <x v="2"/>
    <x v="1"/>
    <n v="3"/>
    <s v="Apresentou aderência forte ao contexto da vaga."/>
  </r>
  <r>
    <n v="600"/>
    <s v="Dra. Maria Cecília Nascimento"/>
    <s v="mnovaes@ig.com.br"/>
    <s v="REQ-1049"/>
    <x v="3"/>
    <s v="Data"/>
    <s v="Rio de Janeiro"/>
    <s v="Remoto"/>
    <x v="1"/>
    <x v="27"/>
    <s v="Maitê"/>
    <x v="4"/>
    <x v="1"/>
    <x v="0"/>
    <d v="2025-01-31T00:00:00"/>
    <d v="2025-02-02T00:00:00"/>
    <b v="0"/>
    <m/>
    <b v="0"/>
    <m/>
    <b v="0"/>
    <m/>
    <b v="0"/>
    <m/>
    <n v="69"/>
    <n v="57"/>
    <n v="59"/>
    <b v="0"/>
    <m/>
    <x v="0"/>
    <m/>
    <x v="2"/>
    <x v="1"/>
    <n v="2"/>
    <s v="Baixa responsividade nas etapas iniciais."/>
  </r>
  <r>
    <n v="601"/>
    <s v="Benício Correia"/>
    <s v="da-costathomas@pinto.br"/>
    <s v="REQ-1057"/>
    <x v="0"/>
    <s v="People"/>
    <s v="Remote"/>
    <s v="Remoto"/>
    <x v="0"/>
    <x v="10"/>
    <s v="Enrico"/>
    <x v="0"/>
    <x v="3"/>
    <x v="0"/>
    <d v="2025-06-10T00:00:00"/>
    <d v="2025-06-08T00:00:00"/>
    <b v="0"/>
    <n v="-3"/>
    <b v="1"/>
    <d v="2025-06-07T00:00:00"/>
    <b v="1"/>
    <d v="2025-06-06T00:00:00"/>
    <b v="1"/>
    <d v="2025-06-05T00:00:00"/>
    <n v="118"/>
    <n v="12"/>
    <n v="104"/>
    <b v="1"/>
    <d v="2025-06-04T00:00:00"/>
    <x v="1"/>
    <d v="2025-06-03T00:00:00"/>
    <x v="4"/>
    <x v="0"/>
    <n v="-7"/>
    <s v="Perfil com forte aderência e processo acelera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977A6A-16EE-40BA-9292-D8637608324A}" name="Tabela dinâ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1:L9" firstHeaderRow="1" firstDataRow="2" firstDataCol="1"/>
  <pivotFields count="35">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1"/>
        <item x="3"/>
        <item x="0"/>
        <item x="5"/>
        <item x="2"/>
        <item x="4"/>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11"/>
  </rowFields>
  <rowItems count="7">
    <i>
      <x/>
    </i>
    <i>
      <x v="1"/>
    </i>
    <i>
      <x v="2"/>
    </i>
    <i>
      <x v="3"/>
    </i>
    <i>
      <x v="4"/>
    </i>
    <i>
      <x v="5"/>
    </i>
    <i t="grand">
      <x/>
    </i>
  </rowItems>
  <colFields count="1">
    <field x="29"/>
  </colFields>
  <colItems count="3">
    <i>
      <x/>
    </i>
    <i>
      <x v="1"/>
    </i>
    <i t="grand">
      <x/>
    </i>
  </colItems>
  <dataFields count="1">
    <dataField name="Contagem de candidate_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B33BD0-A107-44C7-A55C-7FD44468F99A}" name="Tabela dinâ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N1:O15" firstHeaderRow="1" firstDataRow="1" firstDataCol="1"/>
  <pivotFields count="35">
    <pivotField dataField="1" showAll="0"/>
    <pivotField showAll="0"/>
    <pivotField showAll="0"/>
    <pivotField showAll="0"/>
    <pivotField showAll="0"/>
    <pivotField showAll="0"/>
    <pivotField showAll="0"/>
    <pivotField showAll="0"/>
    <pivotField showAll="0">
      <items count="5">
        <item x="2"/>
        <item x="1"/>
        <item x="0"/>
        <item x="3"/>
        <item t="default"/>
      </items>
    </pivotField>
    <pivotField showAll="0">
      <items count="124">
        <item x="17"/>
        <item x="113"/>
        <item x="107"/>
        <item x="92"/>
        <item x="22"/>
        <item x="71"/>
        <item x="93"/>
        <item x="97"/>
        <item x="29"/>
        <item x="115"/>
        <item x="117"/>
        <item x="118"/>
        <item x="15"/>
        <item x="42"/>
        <item x="108"/>
        <item x="86"/>
        <item x="30"/>
        <item x="23"/>
        <item x="84"/>
        <item x="67"/>
        <item x="100"/>
        <item x="73"/>
        <item x="39"/>
        <item x="75"/>
        <item x="101"/>
        <item x="4"/>
        <item x="36"/>
        <item x="16"/>
        <item x="49"/>
        <item x="57"/>
        <item x="85"/>
        <item x="58"/>
        <item x="70"/>
        <item x="25"/>
        <item x="2"/>
        <item x="26"/>
        <item x="1"/>
        <item x="52"/>
        <item x="62"/>
        <item x="27"/>
        <item x="41"/>
        <item x="90"/>
        <item x="116"/>
        <item x="50"/>
        <item x="88"/>
        <item x="6"/>
        <item x="80"/>
        <item x="53"/>
        <item x="59"/>
        <item x="28"/>
        <item x="56"/>
        <item x="61"/>
        <item x="46"/>
        <item x="20"/>
        <item x="8"/>
        <item x="99"/>
        <item x="0"/>
        <item x="81"/>
        <item x="76"/>
        <item x="65"/>
        <item x="13"/>
        <item x="48"/>
        <item x="11"/>
        <item x="35"/>
        <item x="9"/>
        <item x="32"/>
        <item x="64"/>
        <item x="78"/>
        <item x="47"/>
        <item x="43"/>
        <item x="14"/>
        <item x="87"/>
        <item x="34"/>
        <item x="54"/>
        <item x="37"/>
        <item x="24"/>
        <item x="21"/>
        <item x="18"/>
        <item x="72"/>
        <item x="60"/>
        <item x="10"/>
        <item x="68"/>
        <item x="66"/>
        <item x="63"/>
        <item x="109"/>
        <item x="5"/>
        <item x="69"/>
        <item x="12"/>
        <item x="98"/>
        <item x="44"/>
        <item x="96"/>
        <item x="82"/>
        <item x="7"/>
        <item x="31"/>
        <item x="45"/>
        <item x="79"/>
        <item x="40"/>
        <item x="77"/>
        <item x="121"/>
        <item x="3"/>
        <item x="55"/>
        <item x="94"/>
        <item x="91"/>
        <item x="51"/>
        <item x="89"/>
        <item x="95"/>
        <item x="33"/>
        <item x="102"/>
        <item x="106"/>
        <item x="38"/>
        <item x="112"/>
        <item x="19"/>
        <item x="74"/>
        <item x="110"/>
        <item x="120"/>
        <item x="104"/>
        <item x="119"/>
        <item x="103"/>
        <item x="122"/>
        <item x="114"/>
        <item x="105"/>
        <item x="111"/>
        <item x="83"/>
        <item t="default"/>
      </items>
    </pivotField>
    <pivotField showAll="0"/>
    <pivotField showAll="0"/>
    <pivotField showAll="0">
      <items count="9">
        <item x="2"/>
        <item x="1"/>
        <item x="4"/>
        <item x="7"/>
        <item x="0"/>
        <item x="6"/>
        <item x="3"/>
        <item x="5"/>
        <item t="default"/>
      </items>
    </pivotField>
    <pivotField showAll="0">
      <items count="5">
        <item x="0"/>
        <item x="1"/>
        <item x="3"/>
        <item x="2"/>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8">
        <item x="4"/>
        <item x="3"/>
        <item x="6"/>
        <item x="2"/>
        <item x="5"/>
        <item x="1"/>
        <item x="0"/>
        <item t="default"/>
      </items>
    </pivotField>
    <pivotField axis="axisRow" showAll="0" sortType="ascending">
      <items count="11">
        <item x="5"/>
        <item x="7"/>
        <item x="3"/>
        <item x="9"/>
        <item x="6"/>
        <item x="4"/>
        <item x="1"/>
        <item x="2"/>
        <item x="8"/>
        <item x="0"/>
        <item t="default"/>
      </items>
      <autoSortScope>
        <pivotArea dataOnly="0" outline="0" fieldPosition="0">
          <references count="1">
            <reference field="4294967294" count="1" selected="0">
              <x v="0"/>
            </reference>
          </references>
        </pivotArea>
      </autoSortScope>
    </pivotField>
    <pivotField showAll="0"/>
    <pivotField showAll="0"/>
  </pivotFields>
  <rowFields count="2">
    <field x="29"/>
    <field x="32"/>
  </rowFields>
  <rowItems count="14">
    <i>
      <x/>
    </i>
    <i r="1">
      <x v="1"/>
    </i>
    <i r="1">
      <x/>
    </i>
    <i r="1">
      <x v="7"/>
    </i>
    <i r="1">
      <x v="3"/>
    </i>
    <i r="1">
      <x v="4"/>
    </i>
    <i r="1">
      <x v="5"/>
    </i>
    <i r="1">
      <x v="8"/>
    </i>
    <i r="1">
      <x v="2"/>
    </i>
    <i r="1">
      <x v="9"/>
    </i>
    <i r="1">
      <x v="6"/>
    </i>
    <i>
      <x v="1"/>
    </i>
    <i r="1">
      <x v="9"/>
    </i>
    <i t="grand">
      <x/>
    </i>
  </rowItems>
  <colItems count="1">
    <i/>
  </colItems>
  <dataFields count="1">
    <dataField name="Contagem de candidate_id" fld="0"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C7668-6FED-45FD-BFDB-AF8BBC178308}"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1:G11" firstHeaderRow="1" firstDataRow="2" firstDataCol="1"/>
  <pivotFields count="35">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9">
        <item x="2"/>
        <item x="1"/>
        <item x="4"/>
        <item x="7"/>
        <item x="0"/>
        <item x="6"/>
        <item x="3"/>
        <item x="5"/>
        <item t="default"/>
      </items>
      <autoSortScope>
        <pivotArea dataOnly="0" outline="0" fieldPosition="0">
          <references count="2">
            <reference field="4294967294" count="1" selected="0">
              <x v="0"/>
            </reference>
            <reference field="29" count="1" selected="0">
              <x v="1"/>
            </reference>
          </references>
        </pivotArea>
      </autoSortScope>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12"/>
  </rowFields>
  <rowItems count="9">
    <i>
      <x v="6"/>
    </i>
    <i>
      <x v="2"/>
    </i>
    <i>
      <x/>
    </i>
    <i>
      <x v="4"/>
    </i>
    <i>
      <x v="5"/>
    </i>
    <i>
      <x v="7"/>
    </i>
    <i>
      <x v="1"/>
    </i>
    <i>
      <x v="3"/>
    </i>
    <i t="grand">
      <x/>
    </i>
  </rowItems>
  <colFields count="1">
    <field x="29"/>
  </colFields>
  <colItems count="3">
    <i>
      <x/>
    </i>
    <i>
      <x v="1"/>
    </i>
    <i t="grand">
      <x/>
    </i>
  </colItems>
  <dataFields count="1">
    <dataField name="Contagem de candidate_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1770F8-FF1B-4BDF-9A00-EB368DAD08B8}"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B6" firstHeaderRow="1" firstDataRow="1" firstDataCol="1"/>
  <pivotFields count="35">
    <pivotField dataField="1" showAll="0"/>
    <pivotField showAll="0"/>
    <pivotField showAll="0"/>
    <pivotField showAll="0"/>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3"/>
    </i>
    <i>
      <x v="1"/>
    </i>
    <i>
      <x/>
    </i>
    <i>
      <x v="2"/>
    </i>
    <i t="grand">
      <x/>
    </i>
  </rowItems>
  <colItems count="1">
    <i/>
  </colItems>
  <dataFields count="1">
    <dataField name="Contagem de candidate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696FC2-70C1-4016-8F75-EB92A9EC5798}" name="candidatos" displayName="candidatos" ref="A4:AI605" totalsRowShown="0" headerRowDxfId="32" dataDxfId="31">
  <autoFilter ref="A4:AI605" xr:uid="{D1696FC2-70C1-4016-8F75-EB92A9EC5798}">
    <filterColumn colId="32">
      <filters>
        <filter val="No response"/>
      </filters>
    </filterColumn>
  </autoFilter>
  <tableColumns count="35">
    <tableColumn id="1" xr3:uid="{0EAA539F-D82A-40A5-918A-08227899CC76}" name="candidate_id" dataDxfId="30"/>
    <tableColumn id="2" xr3:uid="{72FEDC30-4D13-4ADD-9361-87B3E951E0D5}" name="candidate_name" dataDxfId="29"/>
    <tableColumn id="3" xr3:uid="{187B27C6-4B40-4A42-9DD8-31F79B31B7DE}" name="candidate_email" dataDxfId="28"/>
    <tableColumn id="4" xr3:uid="{3B40B83D-429E-4376-95D8-30D8778B60FB}" name="requisition_id" dataDxfId="27"/>
    <tableColumn id="5" xr3:uid="{2E49692B-58F0-460C-92A7-690AAA6B5381}" name="role" dataDxfId="26"/>
    <tableColumn id="6" xr3:uid="{46D13D2C-7D13-4FF5-829A-916430B38CE2}" name="department" dataDxfId="25"/>
    <tableColumn id="7" xr3:uid="{82A21410-D623-4ED4-807D-75D7FAEDA679}" name="location" dataDxfId="24"/>
    <tableColumn id="8" xr3:uid="{C1E2B9E8-64C7-40AF-855D-B0C27512D8F1}" name="work_mode" dataDxfId="23"/>
    <tableColumn id="9" xr3:uid="{C046971D-DC38-42AF-B8A4-507C6289F352}" name="seniority" dataDxfId="22"/>
    <tableColumn id="10" xr3:uid="{07986E51-9CBC-4E6A-81D3-4DB2D674A43F}" name="years_experience" dataDxfId="21"/>
    <tableColumn id="11" xr3:uid="{BD261497-60D4-49A3-B015-A7795F4AE13A}" name="hiring_manager" dataDxfId="20"/>
    <tableColumn id="12" xr3:uid="{189C955D-3650-4A8C-BA17-DDBC37852241}" name="recruiter" dataDxfId="19"/>
    <tableColumn id="13" xr3:uid="{802E1BA1-A36F-48FE-AC0C-EEECD5D60489}" name="source_channel" dataDxfId="18"/>
    <tableColumn id="14" xr3:uid="{8CBC057F-DAC2-407A-973C-B130221466B9}" name="decision_source" dataDxfId="17"/>
    <tableColumn id="15" xr3:uid="{48CAF8FE-EE70-4A1B-A3FE-2A92C882739E}" name="sourced_date" dataDxfId="16"/>
    <tableColumn id="16" xr3:uid="{A742EC9C-0AA5-44DB-867F-5422CB5E7951}" name="first_contact_date" dataDxfId="15"/>
    <tableColumn id="17" xr3:uid="{A919D08A-629C-4572-B526-4A878A7138B7}" name="response_received" dataDxfId="14"/>
    <tableColumn id="18" xr3:uid="{53F0CC54-CB9A-4E18-A898-DC0DE9EAF69A}" name="response_time_days"/>
    <tableColumn id="19" xr3:uid="{CDDD0D69-D160-47AA-91C8-08181DF47639}" name="screening_pass" dataDxfId="13"/>
    <tableColumn id="20" xr3:uid="{7FC91E16-A4B7-4407-8152-9D998A0E419D}" name="screening_date"/>
    <tableColumn id="21" xr3:uid="{F7D68D08-8026-4F45-97C7-03DE90332100}" name="interview1_pass" dataDxfId="12"/>
    <tableColumn id="22" xr3:uid="{68EED85B-D054-4527-8399-1A0D9E5E1014}" name="interview1_date"/>
    <tableColumn id="23" xr3:uid="{28FC62BF-39E0-4783-B504-2C70ADF73BCD}" name="test_taken" dataDxfId="11"/>
    <tableColumn id="24" xr3:uid="{36B97640-A0CC-45A4-8542-20B3AF6EAB0F}" name="test_date"/>
    <tableColumn id="25" xr3:uid="{6976E0B1-6787-48F9-A5DE-1FCBC98E4F21}" name="technical_test_score" dataDxfId="10"/>
    <tableColumn id="26" xr3:uid="{5DE2D75A-6FBB-4A41-81B4-0AFE1228CB34}" name="behavior_score" dataDxfId="9"/>
    <tableColumn id="27" xr3:uid="{A99315D8-D871-4F8D-9DD8-F793716E8920}" name="manager_score" dataDxfId="8"/>
    <tableColumn id="28" xr3:uid="{B30B76D3-7D04-44EE-82EF-FC0B6A48B3D3}" name="offer_sent" dataDxfId="7"/>
    <tableColumn id="29" xr3:uid="{8CB72D67-C5B0-4F9A-BA08-60B9AB7B7EAA}" name="offer_date"/>
    <tableColumn id="30" xr3:uid="{2BA7B22A-D9C8-4DBD-81AA-0A7009CFE271}" name="hired" dataDxfId="6"/>
    <tableColumn id="31" xr3:uid="{875865F2-1998-4B0E-B359-994B01348D0F}" name="hired_date"/>
    <tableColumn id="32" xr3:uid="{88EF6B8D-D560-4B60-9CB7-2DD8E59A7F7D}" name="final_stage" dataDxfId="5"/>
    <tableColumn id="33" xr3:uid="{D60AD87E-B9C8-4545-BC65-FA7B7EB760CB}" name="rejection_reason" dataDxfId="4"/>
    <tableColumn id="34" xr3:uid="{DD9EEB70-7E33-448A-9EB5-C4BC6BE3BA12}" name="stage_duration_days" dataDxfId="3"/>
    <tableColumn id="35" xr3:uid="{D29F233C-25D9-4467-A837-C0C73370B386}" name="recruiter_notes" dataDxfId="2"/>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C5FF2-8058-4FB3-9F77-C89D41919CAD}">
  <dimension ref="A1:J24"/>
  <sheetViews>
    <sheetView showGridLines="0" showRowColHeaders="0" tabSelected="1" zoomScale="120" zoomScaleNormal="120" workbookViewId="0">
      <selection sqref="A1:J3"/>
    </sheetView>
  </sheetViews>
  <sheetFormatPr defaultColWidth="0" defaultRowHeight="12.5" zeroHeight="1" x14ac:dyDescent="0.25"/>
  <cols>
    <col min="1" max="10" width="8.7265625" customWidth="1"/>
    <col min="11" max="16384" width="8.7265625" hidden="1"/>
  </cols>
  <sheetData>
    <row r="1" spans="1:10" x14ac:dyDescent="0.25">
      <c r="A1" s="37" t="s">
        <v>1616</v>
      </c>
      <c r="B1" s="37"/>
      <c r="C1" s="37"/>
      <c r="D1" s="37"/>
      <c r="E1" s="37"/>
      <c r="F1" s="37"/>
      <c r="G1" s="37"/>
      <c r="H1" s="37"/>
      <c r="I1" s="37"/>
      <c r="J1" s="37"/>
    </row>
    <row r="2" spans="1:10" x14ac:dyDescent="0.25">
      <c r="A2" s="37"/>
      <c r="B2" s="37"/>
      <c r="C2" s="37"/>
      <c r="D2" s="37"/>
      <c r="E2" s="37"/>
      <c r="F2" s="37"/>
      <c r="G2" s="37"/>
      <c r="H2" s="37"/>
      <c r="I2" s="37"/>
      <c r="J2" s="37"/>
    </row>
    <row r="3" spans="1:10" x14ac:dyDescent="0.25">
      <c r="A3" s="37"/>
      <c r="B3" s="37"/>
      <c r="C3" s="37"/>
      <c r="D3" s="37"/>
      <c r="E3" s="37"/>
      <c r="F3" s="37"/>
      <c r="G3" s="37"/>
      <c r="H3" s="37"/>
      <c r="I3" s="37"/>
      <c r="J3" s="37"/>
    </row>
    <row r="4" spans="1:10" x14ac:dyDescent="0.25">
      <c r="A4" s="11"/>
      <c r="B4" s="11"/>
      <c r="C4" s="11"/>
      <c r="D4" s="11"/>
      <c r="E4" s="11"/>
      <c r="F4" s="11"/>
      <c r="G4" s="11"/>
      <c r="H4" s="11"/>
      <c r="I4" s="11"/>
      <c r="J4" s="11"/>
    </row>
    <row r="5" spans="1:10" x14ac:dyDescent="0.25">
      <c r="A5" s="11"/>
      <c r="B5" s="11"/>
      <c r="C5" s="11"/>
      <c r="D5" s="11"/>
      <c r="E5" s="11"/>
      <c r="F5" s="11"/>
      <c r="G5" s="11"/>
      <c r="H5" s="11"/>
      <c r="I5" s="11"/>
      <c r="J5" s="11"/>
    </row>
    <row r="6" spans="1:10" x14ac:dyDescent="0.25">
      <c r="A6" s="11"/>
      <c r="B6" s="11"/>
      <c r="C6" s="11"/>
      <c r="D6" s="11"/>
      <c r="E6" s="11"/>
      <c r="F6" s="11"/>
      <c r="G6" s="11"/>
      <c r="H6" s="11"/>
      <c r="I6" s="11"/>
      <c r="J6" s="11"/>
    </row>
    <row r="7" spans="1:10" x14ac:dyDescent="0.25">
      <c r="A7" s="11"/>
      <c r="B7" s="11"/>
      <c r="C7" s="11"/>
      <c r="D7" s="11"/>
      <c r="E7" s="11"/>
      <c r="F7" s="11"/>
      <c r="G7" s="11"/>
      <c r="H7" s="11"/>
      <c r="I7" s="11"/>
      <c r="J7" s="11"/>
    </row>
    <row r="8" spans="1:10" x14ac:dyDescent="0.25">
      <c r="A8" s="11"/>
      <c r="B8" s="11"/>
      <c r="C8" s="11"/>
      <c r="D8" s="11"/>
      <c r="E8" s="11"/>
      <c r="F8" s="11"/>
      <c r="G8" s="11"/>
      <c r="H8" s="11"/>
      <c r="I8" s="11"/>
      <c r="J8" s="11"/>
    </row>
    <row r="9" spans="1:10" x14ac:dyDescent="0.25">
      <c r="A9" s="11"/>
      <c r="B9" s="11"/>
      <c r="C9" s="11"/>
      <c r="D9" s="11"/>
      <c r="E9" s="11"/>
      <c r="F9" s="11"/>
      <c r="G9" s="11"/>
      <c r="H9" s="11"/>
      <c r="I9" s="11"/>
      <c r="J9" s="11"/>
    </row>
    <row r="10" spans="1:10" x14ac:dyDescent="0.25">
      <c r="A10" s="11"/>
      <c r="B10" s="11"/>
      <c r="C10" s="11"/>
      <c r="D10" s="11"/>
      <c r="E10" s="11"/>
      <c r="F10" s="11"/>
      <c r="G10" s="11"/>
      <c r="H10" s="11"/>
      <c r="I10" s="11"/>
      <c r="J10" s="11"/>
    </row>
    <row r="11" spans="1:10" x14ac:dyDescent="0.25">
      <c r="A11" s="11"/>
      <c r="B11" s="11"/>
      <c r="C11" s="11"/>
      <c r="D11" s="11"/>
      <c r="E11" s="11"/>
      <c r="F11" s="11"/>
      <c r="G11" s="11"/>
      <c r="H11" s="11"/>
      <c r="I11" s="11"/>
      <c r="J11" s="11"/>
    </row>
    <row r="12" spans="1:10" x14ac:dyDescent="0.25">
      <c r="A12" s="11"/>
      <c r="B12" s="11"/>
      <c r="C12" s="11"/>
      <c r="D12" s="11"/>
      <c r="E12" s="11"/>
      <c r="F12" s="11"/>
      <c r="G12" s="11"/>
      <c r="H12" s="11"/>
      <c r="I12" s="11"/>
      <c r="J12" s="11"/>
    </row>
    <row r="13" spans="1:10" x14ac:dyDescent="0.25">
      <c r="A13" s="11"/>
      <c r="B13" s="11"/>
      <c r="C13" s="11"/>
      <c r="D13" s="11"/>
      <c r="E13" s="11"/>
      <c r="F13" s="11"/>
      <c r="G13" s="11"/>
      <c r="H13" s="11"/>
      <c r="I13" s="11"/>
      <c r="J13" s="11"/>
    </row>
    <row r="14" spans="1:10" x14ac:dyDescent="0.25">
      <c r="A14" s="11"/>
      <c r="B14" s="11"/>
      <c r="C14" s="11"/>
      <c r="D14" s="11"/>
      <c r="E14" s="11"/>
      <c r="F14" s="11"/>
      <c r="G14" s="11"/>
      <c r="H14" s="11"/>
      <c r="I14" s="11"/>
      <c r="J14" s="11"/>
    </row>
    <row r="15" spans="1:10" x14ac:dyDescent="0.25">
      <c r="A15" s="11"/>
      <c r="B15" s="11"/>
      <c r="C15" s="11"/>
      <c r="D15" s="11"/>
      <c r="E15" s="11"/>
      <c r="F15" s="11"/>
      <c r="G15" s="11"/>
      <c r="H15" s="11"/>
      <c r="I15" s="11"/>
      <c r="J15" s="11"/>
    </row>
    <row r="16" spans="1:10" x14ac:dyDescent="0.25">
      <c r="A16" s="11"/>
      <c r="B16" s="11"/>
      <c r="C16" s="11"/>
      <c r="D16" s="11"/>
      <c r="E16" s="11"/>
      <c r="F16" s="11"/>
      <c r="G16" s="11"/>
      <c r="H16" s="11"/>
      <c r="I16" s="11"/>
      <c r="J16" s="11"/>
    </row>
    <row r="17" spans="1:10" x14ac:dyDescent="0.25">
      <c r="A17" s="11"/>
      <c r="B17" s="11"/>
      <c r="C17" s="11"/>
      <c r="D17" s="11"/>
      <c r="E17" s="11"/>
      <c r="F17" s="11"/>
      <c r="G17" s="11"/>
      <c r="H17" s="11"/>
      <c r="I17" s="11"/>
      <c r="J17" s="11"/>
    </row>
    <row r="18" spans="1:10" x14ac:dyDescent="0.25">
      <c r="A18" s="11"/>
      <c r="B18" s="11"/>
      <c r="C18" s="11"/>
      <c r="D18" s="11"/>
      <c r="E18" s="11"/>
      <c r="F18" s="11"/>
      <c r="G18" s="11"/>
      <c r="H18" s="11"/>
      <c r="I18" s="11"/>
      <c r="J18" s="11"/>
    </row>
    <row r="19" spans="1:10" x14ac:dyDescent="0.25">
      <c r="A19" s="11"/>
      <c r="B19" s="11"/>
      <c r="C19" s="11"/>
      <c r="D19" s="11"/>
      <c r="E19" s="11"/>
      <c r="F19" s="11"/>
      <c r="G19" s="11"/>
      <c r="H19" s="11"/>
      <c r="I19" s="11"/>
      <c r="J19" s="11"/>
    </row>
    <row r="20" spans="1:10" x14ac:dyDescent="0.25">
      <c r="A20" s="11"/>
      <c r="B20" s="11"/>
      <c r="C20" s="11"/>
      <c r="D20" s="11"/>
      <c r="E20" s="11"/>
      <c r="F20" s="11"/>
      <c r="G20" s="11"/>
      <c r="H20" s="11"/>
      <c r="I20" s="11"/>
      <c r="J20" s="11"/>
    </row>
    <row r="21" spans="1:10" x14ac:dyDescent="0.25">
      <c r="A21" s="11"/>
      <c r="B21" s="11"/>
      <c r="C21" s="11"/>
      <c r="D21" s="11"/>
      <c r="E21" s="11"/>
      <c r="F21" s="11"/>
      <c r="G21" s="11"/>
      <c r="H21" s="11"/>
      <c r="I21" s="11"/>
      <c r="J21" s="11"/>
    </row>
    <row r="22" spans="1:10" x14ac:dyDescent="0.25">
      <c r="A22" s="11"/>
      <c r="B22" s="11"/>
      <c r="C22" s="11"/>
      <c r="D22" s="11"/>
      <c r="E22" s="11"/>
      <c r="F22" s="11"/>
      <c r="G22" s="11"/>
      <c r="H22" s="11"/>
      <c r="I22" s="11"/>
      <c r="J22" s="11"/>
    </row>
    <row r="23" spans="1:10" x14ac:dyDescent="0.25">
      <c r="A23" s="11"/>
      <c r="B23" s="11"/>
      <c r="C23" s="11"/>
      <c r="D23" s="11"/>
      <c r="E23" s="11"/>
      <c r="F23" s="11"/>
      <c r="G23" s="11"/>
      <c r="H23" s="11"/>
      <c r="I23" s="11"/>
      <c r="J23" s="11"/>
    </row>
    <row r="24" spans="1:10" x14ac:dyDescent="0.25">
      <c r="A24" s="11"/>
      <c r="B24" s="11"/>
      <c r="C24" s="11"/>
      <c r="D24" s="11"/>
      <c r="E24" s="11"/>
      <c r="F24" s="11"/>
      <c r="G24" s="11"/>
      <c r="H24" s="11"/>
      <c r="I24" s="11"/>
      <c r="J24" s="11"/>
    </row>
  </sheetData>
  <mergeCells count="1">
    <mergeCell ref="A1:J3"/>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1962C-B811-48D9-BCA3-CCF220044377}">
  <dimension ref="A1:J39"/>
  <sheetViews>
    <sheetView workbookViewId="0">
      <selection sqref="A1:J3"/>
    </sheetView>
  </sheetViews>
  <sheetFormatPr defaultColWidth="0" defaultRowHeight="12.5" zeroHeight="1" x14ac:dyDescent="0.25"/>
  <cols>
    <col min="1" max="10" width="8.7265625" customWidth="1"/>
    <col min="11" max="16384" width="8.7265625" hidden="1"/>
  </cols>
  <sheetData>
    <row r="1" spans="1:10" x14ac:dyDescent="0.25">
      <c r="A1" s="59" t="s">
        <v>1617</v>
      </c>
      <c r="B1" s="59"/>
      <c r="C1" s="59"/>
      <c r="D1" s="59"/>
      <c r="E1" s="59"/>
      <c r="F1" s="59"/>
      <c r="G1" s="59"/>
      <c r="H1" s="59"/>
      <c r="I1" s="59"/>
      <c r="J1" s="59"/>
    </row>
    <row r="2" spans="1:10" x14ac:dyDescent="0.25">
      <c r="A2" s="59"/>
      <c r="B2" s="59"/>
      <c r="C2" s="59"/>
      <c r="D2" s="59"/>
      <c r="E2" s="59"/>
      <c r="F2" s="59"/>
      <c r="G2" s="59"/>
      <c r="H2" s="59"/>
      <c r="I2" s="59"/>
      <c r="J2" s="59"/>
    </row>
    <row r="3" spans="1:10" x14ac:dyDescent="0.25">
      <c r="A3" s="59"/>
      <c r="B3" s="59"/>
      <c r="C3" s="59"/>
      <c r="D3" s="59"/>
      <c r="E3" s="59"/>
      <c r="F3" s="59"/>
      <c r="G3" s="59"/>
      <c r="H3" s="59"/>
      <c r="I3" s="59"/>
      <c r="J3" s="59"/>
    </row>
    <row r="4" spans="1:10" x14ac:dyDescent="0.25">
      <c r="A4" s="11"/>
      <c r="B4" s="11"/>
      <c r="C4" s="11"/>
      <c r="D4" s="11"/>
      <c r="E4" s="11"/>
      <c r="F4" s="11"/>
      <c r="G4" s="11"/>
      <c r="H4" s="11"/>
      <c r="I4" s="11"/>
      <c r="J4" s="11"/>
    </row>
    <row r="5" spans="1:10" x14ac:dyDescent="0.25">
      <c r="A5" s="11"/>
      <c r="B5" s="40" t="s">
        <v>1618</v>
      </c>
      <c r="C5" s="40"/>
      <c r="D5" s="11"/>
      <c r="E5" s="40" t="s">
        <v>1619</v>
      </c>
      <c r="F5" s="40"/>
      <c r="G5" s="11"/>
      <c r="H5" s="40" t="s">
        <v>1622</v>
      </c>
      <c r="I5" s="40"/>
      <c r="J5" s="11"/>
    </row>
    <row r="6" spans="1:10" x14ac:dyDescent="0.25">
      <c r="A6" s="11"/>
      <c r="B6" s="41">
        <f>GETPIVOTDATA("candidate_id",tables!$A$1)</f>
        <v>601</v>
      </c>
      <c r="C6" s="42"/>
      <c r="D6" s="11"/>
      <c r="E6" s="60">
        <f>tables!K10</f>
        <v>8.153078202995008E-2</v>
      </c>
      <c r="F6" s="61"/>
      <c r="G6" s="11"/>
      <c r="H6" s="60">
        <f>Analysis!C16</f>
        <v>0.30845771144278605</v>
      </c>
      <c r="I6" s="61"/>
      <c r="J6" s="11"/>
    </row>
    <row r="7" spans="1:10" x14ac:dyDescent="0.25">
      <c r="A7" s="11"/>
      <c r="B7" s="43"/>
      <c r="C7" s="44"/>
      <c r="D7" s="11"/>
      <c r="E7" s="62"/>
      <c r="F7" s="63"/>
      <c r="G7" s="11"/>
      <c r="H7" s="62"/>
      <c r="I7" s="63"/>
      <c r="J7" s="11"/>
    </row>
    <row r="8" spans="1:10" x14ac:dyDescent="0.25">
      <c r="A8" s="11"/>
      <c r="B8" s="45"/>
      <c r="C8" s="46"/>
      <c r="D8" s="11"/>
      <c r="E8" s="64"/>
      <c r="F8" s="65"/>
      <c r="G8" s="11"/>
      <c r="H8" s="64"/>
      <c r="I8" s="65"/>
      <c r="J8" s="11"/>
    </row>
    <row r="9" spans="1:10" x14ac:dyDescent="0.25">
      <c r="A9" s="11"/>
      <c r="B9" s="39" t="s">
        <v>1620</v>
      </c>
      <c r="C9" s="39"/>
      <c r="D9" s="11"/>
      <c r="E9" s="39" t="s">
        <v>1621</v>
      </c>
      <c r="F9" s="39"/>
      <c r="G9" s="11"/>
      <c r="H9" s="39" t="s">
        <v>1623</v>
      </c>
      <c r="I9" s="39"/>
      <c r="J9" s="11"/>
    </row>
    <row r="10" spans="1:10" x14ac:dyDescent="0.25">
      <c r="A10" s="11"/>
      <c r="B10" s="11"/>
      <c r="C10" s="11"/>
      <c r="D10" s="11"/>
      <c r="E10" s="11"/>
      <c r="F10" s="11"/>
      <c r="G10" s="11"/>
      <c r="H10" s="11"/>
      <c r="I10" s="11"/>
      <c r="J10" s="11"/>
    </row>
    <row r="11" spans="1:10" x14ac:dyDescent="0.25">
      <c r="A11" s="11"/>
      <c r="B11" s="11"/>
      <c r="C11" s="11"/>
      <c r="D11" s="11"/>
      <c r="E11" s="11"/>
      <c r="F11" s="11"/>
      <c r="G11" s="11"/>
      <c r="H11" s="11"/>
      <c r="I11" s="11"/>
      <c r="J11" s="11"/>
    </row>
    <row r="12" spans="1:10" x14ac:dyDescent="0.25">
      <c r="A12" s="11"/>
      <c r="B12" s="40" t="s">
        <v>1624</v>
      </c>
      <c r="C12" s="40"/>
      <c r="D12" s="11"/>
      <c r="E12" s="40" t="s">
        <v>1626</v>
      </c>
      <c r="F12" s="40"/>
      <c r="G12" s="11"/>
      <c r="H12" s="40" t="s">
        <v>1615</v>
      </c>
      <c r="I12" s="40"/>
      <c r="J12" s="11"/>
    </row>
    <row r="13" spans="1:10" x14ac:dyDescent="0.25">
      <c r="A13" s="11"/>
      <c r="B13" s="41" t="str">
        <f>Analysis!C62</f>
        <v>Github</v>
      </c>
      <c r="C13" s="42"/>
      <c r="D13" s="11"/>
      <c r="E13" s="47">
        <f>Analysis!E80</f>
        <v>0.15306122448979592</v>
      </c>
      <c r="F13" s="48"/>
      <c r="G13" s="11"/>
      <c r="H13" s="53" t="str">
        <f>Analysis!E131</f>
        <v>No response</v>
      </c>
      <c r="I13" s="54"/>
      <c r="J13" s="11"/>
    </row>
    <row r="14" spans="1:10" x14ac:dyDescent="0.25">
      <c r="A14" s="11"/>
      <c r="B14" s="43"/>
      <c r="C14" s="44"/>
      <c r="D14" s="11"/>
      <c r="E14" s="49"/>
      <c r="F14" s="50"/>
      <c r="G14" s="11"/>
      <c r="H14" s="55"/>
      <c r="I14" s="56"/>
      <c r="J14" s="11"/>
    </row>
    <row r="15" spans="1:10" x14ac:dyDescent="0.25">
      <c r="A15" s="11"/>
      <c r="B15" s="45"/>
      <c r="C15" s="46"/>
      <c r="D15" s="11"/>
      <c r="E15" s="51"/>
      <c r="F15" s="52"/>
      <c r="G15" s="11"/>
      <c r="H15" s="57"/>
      <c r="I15" s="58"/>
      <c r="J15" s="11"/>
    </row>
    <row r="16" spans="1:10" x14ac:dyDescent="0.25">
      <c r="A16" s="11"/>
      <c r="B16" s="39" t="s">
        <v>1625</v>
      </c>
      <c r="C16" s="39"/>
      <c r="D16" s="11"/>
      <c r="E16" s="39" t="s">
        <v>90</v>
      </c>
      <c r="F16" s="39"/>
      <c r="G16" s="11"/>
      <c r="H16" s="39" t="s">
        <v>1627</v>
      </c>
      <c r="I16" s="39"/>
      <c r="J16" s="11"/>
    </row>
    <row r="17" spans="1:10" x14ac:dyDescent="0.25">
      <c r="A17" s="11"/>
      <c r="B17" s="11"/>
      <c r="C17" s="11"/>
      <c r="D17" s="11"/>
      <c r="E17" s="11"/>
      <c r="F17" s="11"/>
      <c r="G17" s="11"/>
      <c r="H17" s="11"/>
      <c r="I17" s="11"/>
      <c r="J17" s="11"/>
    </row>
    <row r="18" spans="1:10" x14ac:dyDescent="0.25">
      <c r="A18" s="11"/>
      <c r="B18" s="11"/>
      <c r="C18" s="11"/>
      <c r="D18" s="11"/>
      <c r="E18" s="11"/>
      <c r="F18" s="11"/>
      <c r="G18" s="11"/>
      <c r="H18" s="11"/>
      <c r="I18" s="11"/>
      <c r="J18" s="11"/>
    </row>
    <row r="19" spans="1:10" ht="12.5" customHeight="1" x14ac:dyDescent="0.25">
      <c r="A19" s="38" t="s">
        <v>1628</v>
      </c>
      <c r="B19" s="38"/>
      <c r="C19" s="38"/>
      <c r="D19" s="38"/>
      <c r="E19" s="38"/>
      <c r="F19" s="38"/>
      <c r="G19" s="38"/>
      <c r="H19" s="38"/>
      <c r="I19" s="38"/>
      <c r="J19" s="38"/>
    </row>
    <row r="20" spans="1:10" ht="12.5" customHeight="1" x14ac:dyDescent="0.25">
      <c r="A20" s="38"/>
      <c r="B20" s="38"/>
      <c r="C20" s="38"/>
      <c r="D20" s="38"/>
      <c r="E20" s="38"/>
      <c r="F20" s="38"/>
      <c r="G20" s="38"/>
      <c r="H20" s="38"/>
      <c r="I20" s="38"/>
      <c r="J20" s="38"/>
    </row>
    <row r="21" spans="1:10" ht="12.5" customHeight="1" x14ac:dyDescent="0.25">
      <c r="A21" s="12"/>
      <c r="B21" s="12"/>
      <c r="C21" s="12"/>
      <c r="D21" s="12"/>
      <c r="E21" s="12"/>
      <c r="F21" s="12"/>
      <c r="G21" s="12"/>
      <c r="H21" s="12"/>
      <c r="I21" s="12"/>
      <c r="J21" s="12"/>
    </row>
    <row r="22" spans="1:10" x14ac:dyDescent="0.25">
      <c r="A22" s="11"/>
      <c r="B22" s="11"/>
      <c r="C22" s="11"/>
      <c r="D22" s="11"/>
      <c r="E22" s="11"/>
      <c r="F22" s="11"/>
      <c r="G22" s="11"/>
      <c r="H22" s="11"/>
      <c r="I22" s="11"/>
      <c r="J22" s="11"/>
    </row>
    <row r="23" spans="1:10" x14ac:dyDescent="0.25">
      <c r="A23" s="11"/>
      <c r="B23" s="11"/>
      <c r="C23" s="11"/>
      <c r="D23" s="11"/>
      <c r="E23" s="11"/>
      <c r="F23" s="11"/>
      <c r="G23" s="11"/>
      <c r="H23" s="11"/>
      <c r="I23" s="11"/>
      <c r="J23" s="11"/>
    </row>
    <row r="24" spans="1:10" x14ac:dyDescent="0.25">
      <c r="A24" s="11"/>
      <c r="B24" s="11"/>
      <c r="C24" s="11"/>
      <c r="D24" s="11"/>
      <c r="E24" s="11"/>
      <c r="F24" s="11"/>
      <c r="G24" s="11"/>
      <c r="H24" s="11"/>
      <c r="I24" s="11"/>
      <c r="J24" s="11"/>
    </row>
    <row r="25" spans="1:10" x14ac:dyDescent="0.25">
      <c r="A25" s="11"/>
      <c r="B25" s="11"/>
      <c r="C25" s="11"/>
      <c r="D25" s="11"/>
      <c r="E25" s="11"/>
      <c r="F25" s="11"/>
      <c r="G25" s="11"/>
      <c r="H25" s="11"/>
      <c r="I25" s="11"/>
      <c r="J25" s="11"/>
    </row>
    <row r="26" spans="1:10" x14ac:dyDescent="0.25">
      <c r="A26" s="11"/>
      <c r="B26" s="11"/>
      <c r="C26" s="11"/>
      <c r="D26" s="11"/>
      <c r="E26" s="11"/>
      <c r="F26" s="11"/>
      <c r="G26" s="11"/>
      <c r="H26" s="11"/>
      <c r="I26" s="11"/>
      <c r="J26" s="11"/>
    </row>
    <row r="27" spans="1:10" x14ac:dyDescent="0.25">
      <c r="A27" s="11"/>
      <c r="B27" s="11"/>
      <c r="C27" s="11"/>
      <c r="D27" s="11"/>
      <c r="E27" s="11"/>
      <c r="F27" s="11"/>
      <c r="G27" s="11"/>
      <c r="H27" s="11"/>
      <c r="I27" s="11"/>
      <c r="J27" s="11"/>
    </row>
    <row r="28" spans="1:10" x14ac:dyDescent="0.25">
      <c r="A28" s="11"/>
      <c r="B28" s="11"/>
      <c r="C28" s="11"/>
      <c r="D28" s="11"/>
      <c r="E28" s="11"/>
      <c r="F28" s="11"/>
      <c r="G28" s="11"/>
      <c r="H28" s="11"/>
      <c r="I28" s="11"/>
      <c r="J28" s="11"/>
    </row>
    <row r="29" spans="1:10" x14ac:dyDescent="0.25">
      <c r="A29" s="11"/>
      <c r="B29" s="11"/>
      <c r="C29" s="11"/>
      <c r="D29" s="11"/>
      <c r="E29" s="11"/>
      <c r="F29" s="11"/>
      <c r="G29" s="11"/>
      <c r="H29" s="11"/>
      <c r="I29" s="11"/>
      <c r="J29" s="11"/>
    </row>
    <row r="30" spans="1:10" x14ac:dyDescent="0.25">
      <c r="A30" s="11"/>
      <c r="B30" s="11"/>
      <c r="C30" s="11"/>
      <c r="D30" s="11"/>
      <c r="E30" s="11"/>
      <c r="F30" s="11"/>
      <c r="G30" s="11"/>
      <c r="H30" s="11"/>
      <c r="I30" s="11"/>
      <c r="J30" s="11"/>
    </row>
    <row r="31" spans="1:10" x14ac:dyDescent="0.25">
      <c r="A31" s="11"/>
      <c r="B31" s="11"/>
      <c r="C31" s="11"/>
      <c r="D31" s="11"/>
      <c r="E31" s="11"/>
      <c r="F31" s="11"/>
      <c r="G31" s="11"/>
      <c r="H31" s="11"/>
      <c r="I31" s="11"/>
      <c r="J31" s="11"/>
    </row>
    <row r="32" spans="1:10" x14ac:dyDescent="0.25">
      <c r="A32" s="11"/>
      <c r="B32" s="11"/>
      <c r="C32" s="11"/>
      <c r="D32" s="11"/>
      <c r="E32" s="11"/>
      <c r="F32" s="11"/>
      <c r="G32" s="11"/>
      <c r="H32" s="11"/>
      <c r="I32" s="11"/>
      <c r="J32" s="11"/>
    </row>
    <row r="33" spans="1:10" x14ac:dyDescent="0.25">
      <c r="A33" s="11"/>
      <c r="B33" s="11"/>
      <c r="C33" s="11"/>
      <c r="D33" s="11"/>
      <c r="E33" s="11"/>
      <c r="F33" s="11"/>
      <c r="G33" s="11"/>
      <c r="H33" s="11"/>
      <c r="I33" s="11"/>
      <c r="J33" s="11"/>
    </row>
    <row r="34" spans="1:10" x14ac:dyDescent="0.25">
      <c r="A34" s="11"/>
      <c r="B34" s="11"/>
      <c r="C34" s="11"/>
      <c r="D34" s="11"/>
      <c r="E34" s="11"/>
      <c r="F34" s="11"/>
      <c r="G34" s="11"/>
      <c r="H34" s="11"/>
      <c r="I34" s="11"/>
      <c r="J34" s="11"/>
    </row>
    <row r="35" spans="1:10" x14ac:dyDescent="0.25">
      <c r="A35" s="11"/>
      <c r="B35" s="11"/>
      <c r="C35" s="11"/>
      <c r="D35" s="11"/>
      <c r="E35" s="11"/>
      <c r="F35" s="11"/>
      <c r="G35" s="11"/>
      <c r="H35" s="11"/>
      <c r="I35" s="11"/>
      <c r="J35" s="11"/>
    </row>
    <row r="36" spans="1:10" x14ac:dyDescent="0.25">
      <c r="A36" s="11"/>
      <c r="B36" s="11"/>
      <c r="C36" s="11"/>
      <c r="D36" s="11"/>
      <c r="E36" s="11"/>
      <c r="F36" s="11"/>
      <c r="G36" s="11"/>
      <c r="H36" s="11"/>
      <c r="I36" s="11"/>
      <c r="J36" s="11"/>
    </row>
    <row r="37" spans="1:10" x14ac:dyDescent="0.25">
      <c r="A37" s="11"/>
      <c r="B37" s="11"/>
      <c r="C37" s="11"/>
      <c r="D37" s="11"/>
      <c r="E37" s="11"/>
      <c r="F37" s="11"/>
      <c r="G37" s="11"/>
      <c r="H37" s="11"/>
      <c r="I37" s="11"/>
      <c r="J37" s="11"/>
    </row>
    <row r="38" spans="1:10" x14ac:dyDescent="0.25">
      <c r="A38" s="11"/>
      <c r="B38" s="11"/>
      <c r="C38" s="11"/>
      <c r="D38" s="11"/>
      <c r="E38" s="11"/>
      <c r="F38" s="11"/>
      <c r="G38" s="11"/>
      <c r="H38" s="11"/>
      <c r="I38" s="11"/>
      <c r="J38" s="11"/>
    </row>
    <row r="39" spans="1:10" x14ac:dyDescent="0.25">
      <c r="A39" s="11"/>
      <c r="B39" s="11"/>
      <c r="C39" s="11"/>
      <c r="D39" s="11"/>
      <c r="E39" s="11"/>
      <c r="F39" s="11"/>
      <c r="G39" s="11"/>
      <c r="H39" s="11"/>
      <c r="I39" s="11"/>
      <c r="J39" s="11"/>
    </row>
  </sheetData>
  <mergeCells count="20">
    <mergeCell ref="A1:J3"/>
    <mergeCell ref="B6:C8"/>
    <mergeCell ref="B9:C9"/>
    <mergeCell ref="E6:F8"/>
    <mergeCell ref="E9:F9"/>
    <mergeCell ref="B5:C5"/>
    <mergeCell ref="E5:F5"/>
    <mergeCell ref="H5:I5"/>
    <mergeCell ref="H6:I8"/>
    <mergeCell ref="A19:J20"/>
    <mergeCell ref="H9:I9"/>
    <mergeCell ref="B12:C12"/>
    <mergeCell ref="B13:C15"/>
    <mergeCell ref="B16:C16"/>
    <mergeCell ref="E12:F12"/>
    <mergeCell ref="E13:F15"/>
    <mergeCell ref="E16:F16"/>
    <mergeCell ref="H12:I12"/>
    <mergeCell ref="H13:I15"/>
    <mergeCell ref="H16:I16"/>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61267-E92C-4D3F-B888-C5146FBC60EF}">
  <dimension ref="A1:S140"/>
  <sheetViews>
    <sheetView workbookViewId="0">
      <selection activeCell="C44" sqref="C44"/>
    </sheetView>
  </sheetViews>
  <sheetFormatPr defaultColWidth="0" defaultRowHeight="12.5" zeroHeight="1" x14ac:dyDescent="0.25"/>
  <cols>
    <col min="1" max="1" width="15.08984375" bestFit="1" customWidth="1"/>
    <col min="2" max="2" width="10.453125" bestFit="1" customWidth="1"/>
    <col min="3" max="3" width="15.81640625" bestFit="1" customWidth="1"/>
    <col min="4" max="4" width="10.453125" bestFit="1" customWidth="1"/>
    <col min="5" max="5" width="21.7265625" bestFit="1" customWidth="1"/>
    <col min="6" max="6" width="10.453125" bestFit="1" customWidth="1"/>
    <col min="7" max="7" width="21.54296875" bestFit="1" customWidth="1"/>
    <col min="8" max="8" width="16.08984375" bestFit="1" customWidth="1"/>
    <col min="9" max="9" width="13.36328125" bestFit="1" customWidth="1"/>
    <col min="10" max="10" width="9.81640625" bestFit="1" customWidth="1"/>
    <col min="11" max="11" width="9.6328125" hidden="1" customWidth="1"/>
    <col min="12" max="12" width="8.7265625" hidden="1" customWidth="1"/>
    <col min="13" max="13" width="13.36328125" hidden="1" customWidth="1"/>
    <col min="14" max="14" width="9.81640625" hidden="1" customWidth="1"/>
    <col min="15" max="15" width="9.6328125" hidden="1" customWidth="1"/>
    <col min="16" max="16" width="8.7265625" hidden="1" customWidth="1"/>
    <col min="17" max="17" width="13.36328125" hidden="1" customWidth="1"/>
    <col min="18" max="18" width="10.453125" hidden="1" customWidth="1"/>
    <col min="19" max="19" width="10.6328125" hidden="1" customWidth="1"/>
    <col min="20" max="16384" width="8.7265625" hidden="1"/>
  </cols>
  <sheetData>
    <row r="1" spans="1:10" x14ac:dyDescent="0.25">
      <c r="A1" s="59" t="s">
        <v>1629</v>
      </c>
      <c r="B1" s="59"/>
      <c r="C1" s="59"/>
      <c r="D1" s="59"/>
      <c r="E1" s="59"/>
      <c r="F1" s="59"/>
      <c r="G1" s="59"/>
      <c r="H1" s="59"/>
      <c r="I1" s="59"/>
      <c r="J1" s="59"/>
    </row>
    <row r="2" spans="1:10" x14ac:dyDescent="0.25">
      <c r="A2" s="59"/>
      <c r="B2" s="59"/>
      <c r="C2" s="59"/>
      <c r="D2" s="59"/>
      <c r="E2" s="59"/>
      <c r="F2" s="59"/>
      <c r="G2" s="59"/>
      <c r="H2" s="59"/>
      <c r="I2" s="59"/>
      <c r="J2" s="59"/>
    </row>
    <row r="3" spans="1:10" x14ac:dyDescent="0.25">
      <c r="A3" s="59"/>
      <c r="B3" s="59"/>
      <c r="C3" s="59"/>
      <c r="D3" s="59"/>
      <c r="E3" s="59"/>
      <c r="F3" s="59"/>
      <c r="G3" s="59"/>
      <c r="H3" s="59"/>
      <c r="I3" s="59"/>
      <c r="J3" s="59"/>
    </row>
    <row r="4" spans="1:10" x14ac:dyDescent="0.25">
      <c r="A4" s="80" t="s">
        <v>1630</v>
      </c>
      <c r="B4" s="80"/>
      <c r="C4" s="80"/>
      <c r="D4" s="80"/>
      <c r="E4" s="80"/>
      <c r="F4" s="80"/>
      <c r="G4" s="80"/>
      <c r="H4" s="80"/>
      <c r="I4" s="80"/>
      <c r="J4" s="80"/>
    </row>
    <row r="5" spans="1:10" x14ac:dyDescent="0.25">
      <c r="A5" s="80"/>
      <c r="B5" s="80"/>
      <c r="C5" s="80"/>
      <c r="D5" s="80"/>
      <c r="E5" s="80"/>
      <c r="F5" s="80"/>
      <c r="G5" s="80"/>
      <c r="H5" s="80"/>
      <c r="I5" s="80"/>
      <c r="J5" s="80"/>
    </row>
    <row r="6" spans="1:10" ht="13" customHeight="1" x14ac:dyDescent="0.25">
      <c r="A6" s="15"/>
      <c r="B6" s="15"/>
      <c r="C6" s="15"/>
      <c r="D6" s="15"/>
      <c r="E6" s="15"/>
      <c r="F6" s="15"/>
      <c r="G6" s="15"/>
      <c r="H6" s="15"/>
      <c r="I6" s="15"/>
      <c r="J6" s="15"/>
    </row>
    <row r="7" spans="1:10" ht="13" customHeight="1" x14ac:dyDescent="0.25">
      <c r="A7" s="15"/>
      <c r="B7" s="15"/>
      <c r="C7" s="15"/>
      <c r="D7" s="15"/>
      <c r="E7" s="15"/>
      <c r="F7" s="15"/>
      <c r="G7" s="15"/>
      <c r="H7" s="15"/>
      <c r="I7" s="15"/>
      <c r="J7" s="15"/>
    </row>
    <row r="8" spans="1:10" ht="12.5" customHeight="1" x14ac:dyDescent="0.25">
      <c r="A8" s="15"/>
      <c r="B8" s="15"/>
      <c r="C8" s="15"/>
      <c r="D8" s="15"/>
      <c r="E8" s="15"/>
      <c r="F8" s="15"/>
      <c r="G8" s="15"/>
      <c r="H8" s="15"/>
      <c r="I8" s="15"/>
      <c r="J8" s="15"/>
    </row>
    <row r="9" spans="1:10" ht="12.5" customHeight="1" x14ac:dyDescent="0.3">
      <c r="A9" s="79" t="s">
        <v>1587</v>
      </c>
      <c r="B9" s="79"/>
      <c r="C9" s="79"/>
      <c r="D9" s="15"/>
      <c r="E9" s="15"/>
      <c r="F9" s="15"/>
      <c r="G9" s="15"/>
      <c r="H9" s="15"/>
      <c r="I9" s="15"/>
      <c r="J9" s="15"/>
    </row>
    <row r="10" spans="1:10" ht="12.5" customHeight="1" x14ac:dyDescent="0.3">
      <c r="A10" s="16" t="s">
        <v>1588</v>
      </c>
      <c r="B10" s="16" t="s">
        <v>1589</v>
      </c>
      <c r="C10" s="16" t="s">
        <v>1590</v>
      </c>
      <c r="D10" s="15"/>
      <c r="E10" s="15"/>
      <c r="F10" s="15"/>
      <c r="G10" s="15"/>
      <c r="H10" s="15"/>
      <c r="I10" s="15"/>
      <c r="J10" s="15"/>
    </row>
    <row r="11" spans="1:10" ht="12.5" customHeight="1" x14ac:dyDescent="0.25">
      <c r="A11" s="15" t="s">
        <v>57</v>
      </c>
      <c r="B11" s="15">
        <v>601</v>
      </c>
      <c r="C11" s="15"/>
      <c r="D11" s="15"/>
      <c r="E11" s="15"/>
      <c r="F11" s="15"/>
      <c r="G11" s="15"/>
      <c r="H11" s="15"/>
      <c r="I11" s="15"/>
      <c r="J11" s="15"/>
    </row>
    <row r="12" spans="1:10" ht="12.5" customHeight="1" x14ac:dyDescent="0.25">
      <c r="A12" s="15" t="s">
        <v>1583</v>
      </c>
      <c r="B12" s="15">
        <v>408</v>
      </c>
      <c r="C12" s="17">
        <f t="shared" ref="C12:C17" si="0">B12/B11</f>
        <v>0.67886855241264554</v>
      </c>
      <c r="D12" s="15"/>
      <c r="E12" s="15"/>
      <c r="F12" s="15"/>
      <c r="G12" s="15"/>
      <c r="H12" s="15"/>
      <c r="I12" s="15"/>
      <c r="J12" s="15"/>
    </row>
    <row r="13" spans="1:10" ht="12.5" customHeight="1" x14ac:dyDescent="0.25">
      <c r="A13" s="15" t="s">
        <v>1584</v>
      </c>
      <c r="B13" s="15">
        <v>308</v>
      </c>
      <c r="C13" s="17">
        <f t="shared" si="0"/>
        <v>0.75490196078431371</v>
      </c>
      <c r="D13" s="15"/>
      <c r="E13" s="15"/>
      <c r="F13" s="15"/>
      <c r="G13" s="15"/>
      <c r="H13" s="15"/>
      <c r="I13" s="15"/>
      <c r="J13" s="15"/>
    </row>
    <row r="14" spans="1:10" x14ac:dyDescent="0.25">
      <c r="A14" s="15" t="s">
        <v>1585</v>
      </c>
      <c r="B14" s="15">
        <v>234</v>
      </c>
      <c r="C14" s="17">
        <f t="shared" si="0"/>
        <v>0.75974025974025972</v>
      </c>
      <c r="D14" s="15"/>
      <c r="E14" s="15"/>
      <c r="F14" s="15"/>
      <c r="G14" s="15"/>
      <c r="H14" s="15"/>
      <c r="I14" s="15"/>
      <c r="J14" s="15"/>
    </row>
    <row r="15" spans="1:10" x14ac:dyDescent="0.25">
      <c r="A15" s="15" t="s">
        <v>1586</v>
      </c>
      <c r="B15" s="15">
        <v>201</v>
      </c>
      <c r="C15" s="17">
        <f t="shared" si="0"/>
        <v>0.85897435897435892</v>
      </c>
      <c r="D15" s="15"/>
      <c r="E15" s="15"/>
      <c r="F15" s="15"/>
      <c r="G15" s="15"/>
      <c r="H15" s="15"/>
      <c r="I15" s="15"/>
      <c r="J15" s="15"/>
    </row>
    <row r="16" spans="1:10" x14ac:dyDescent="0.25">
      <c r="A16" s="15" t="s">
        <v>316</v>
      </c>
      <c r="B16" s="15">
        <v>62</v>
      </c>
      <c r="C16" s="18">
        <f t="shared" si="0"/>
        <v>0.30845771144278605</v>
      </c>
      <c r="D16" s="15"/>
      <c r="E16" s="15"/>
      <c r="F16" s="15"/>
      <c r="G16" s="15"/>
      <c r="H16" s="15"/>
      <c r="I16" s="15"/>
      <c r="J16" s="15"/>
    </row>
    <row r="17" spans="1:10" x14ac:dyDescent="0.25">
      <c r="A17" s="15" t="s">
        <v>134</v>
      </c>
      <c r="B17" s="15">
        <v>49</v>
      </c>
      <c r="C17" s="17">
        <f t="shared" si="0"/>
        <v>0.79032258064516125</v>
      </c>
      <c r="D17" s="15"/>
      <c r="E17" s="15"/>
      <c r="F17" s="15"/>
      <c r="G17" s="15"/>
      <c r="H17" s="15"/>
      <c r="I17" s="15"/>
      <c r="J17" s="15"/>
    </row>
    <row r="18" spans="1:10" x14ac:dyDescent="0.25">
      <c r="A18" s="15"/>
      <c r="B18" s="15"/>
      <c r="C18" s="15"/>
      <c r="D18" s="15"/>
      <c r="E18" s="15"/>
      <c r="F18" s="15"/>
      <c r="G18" s="15"/>
      <c r="H18" s="15"/>
      <c r="I18" s="15"/>
      <c r="J18" s="15"/>
    </row>
    <row r="19" spans="1:10" x14ac:dyDescent="0.25">
      <c r="A19" s="15"/>
      <c r="B19" s="15"/>
      <c r="C19" s="15"/>
      <c r="D19" s="15"/>
      <c r="E19" s="15"/>
      <c r="F19" s="15"/>
      <c r="G19" s="15"/>
      <c r="H19" s="15"/>
      <c r="I19" s="15"/>
      <c r="J19" s="15"/>
    </row>
    <row r="20" spans="1:10" x14ac:dyDescent="0.25">
      <c r="A20" s="15"/>
      <c r="B20" s="15"/>
      <c r="C20" s="15"/>
      <c r="D20" s="15"/>
      <c r="E20" s="15"/>
      <c r="F20" s="15"/>
      <c r="G20" s="15"/>
      <c r="H20" s="15"/>
      <c r="I20" s="15"/>
      <c r="J20" s="15"/>
    </row>
    <row r="21" spans="1:10" x14ac:dyDescent="0.25">
      <c r="A21" s="15"/>
      <c r="B21" s="15"/>
      <c r="C21" s="15"/>
      <c r="D21" s="15"/>
      <c r="E21" s="15"/>
      <c r="F21" s="15"/>
      <c r="G21" s="15"/>
      <c r="H21" s="15"/>
      <c r="I21" s="15"/>
      <c r="J21" s="15"/>
    </row>
    <row r="22" spans="1:10" ht="13" x14ac:dyDescent="0.3">
      <c r="A22" s="87" t="s">
        <v>1632</v>
      </c>
      <c r="B22" s="87"/>
      <c r="C22" s="87"/>
      <c r="D22" s="87"/>
      <c r="E22" s="87"/>
      <c r="F22" s="87"/>
      <c r="G22" s="87"/>
      <c r="H22" s="87"/>
      <c r="I22" s="87"/>
      <c r="J22" s="87"/>
    </row>
    <row r="23" spans="1:10" ht="12.5" customHeight="1" x14ac:dyDescent="0.25">
      <c r="A23" s="81" t="s">
        <v>1631</v>
      </c>
      <c r="B23" s="82"/>
      <c r="C23" s="82"/>
      <c r="D23" s="82"/>
      <c r="E23" s="82"/>
      <c r="F23" s="82"/>
      <c r="G23" s="82"/>
      <c r="H23" s="82"/>
      <c r="I23" s="82"/>
      <c r="J23" s="83"/>
    </row>
    <row r="24" spans="1:10" x14ac:dyDescent="0.25">
      <c r="A24" s="84"/>
      <c r="B24" s="85"/>
      <c r="C24" s="85"/>
      <c r="D24" s="85"/>
      <c r="E24" s="85"/>
      <c r="F24" s="85"/>
      <c r="G24" s="85"/>
      <c r="H24" s="85"/>
      <c r="I24" s="85"/>
      <c r="J24" s="86"/>
    </row>
    <row r="25" spans="1:10" x14ac:dyDescent="0.25">
      <c r="A25" s="19"/>
      <c r="B25" s="19"/>
      <c r="C25" s="19"/>
      <c r="D25" s="19"/>
      <c r="E25" s="19"/>
      <c r="F25" s="19"/>
      <c r="G25" s="19"/>
      <c r="H25" s="19"/>
      <c r="I25" s="19"/>
      <c r="J25" s="19"/>
    </row>
    <row r="26" spans="1:10" ht="18" x14ac:dyDescent="0.25">
      <c r="A26" s="80" t="s">
        <v>1633</v>
      </c>
      <c r="B26" s="80"/>
      <c r="C26" s="80"/>
      <c r="D26" s="80"/>
      <c r="E26" s="80"/>
      <c r="F26" s="80"/>
      <c r="G26" s="80"/>
      <c r="H26" s="80"/>
      <c r="I26" s="80"/>
      <c r="J26" s="80"/>
    </row>
    <row r="27" spans="1:10" ht="13" x14ac:dyDescent="0.3">
      <c r="A27" s="79" t="s">
        <v>62</v>
      </c>
      <c r="B27" s="79"/>
      <c r="C27" s="79"/>
      <c r="D27" s="15"/>
      <c r="E27" s="79" t="s">
        <v>38</v>
      </c>
      <c r="F27" s="79"/>
      <c r="G27" s="79"/>
      <c r="H27" s="15"/>
      <c r="I27" s="15"/>
      <c r="J27" s="15"/>
    </row>
    <row r="28" spans="1:10" ht="13" x14ac:dyDescent="0.3">
      <c r="A28" s="16" t="s">
        <v>1588</v>
      </c>
      <c r="B28" s="16" t="s">
        <v>1589</v>
      </c>
      <c r="C28" s="16" t="s">
        <v>1590</v>
      </c>
      <c r="D28" s="15"/>
      <c r="E28" s="16" t="s">
        <v>1588</v>
      </c>
      <c r="F28" s="16" t="s">
        <v>1589</v>
      </c>
      <c r="G28" s="16" t="s">
        <v>1590</v>
      </c>
      <c r="H28" s="15"/>
      <c r="I28" s="15"/>
      <c r="J28" s="15"/>
    </row>
    <row r="29" spans="1:10" x14ac:dyDescent="0.25">
      <c r="A29" s="15" t="s">
        <v>57</v>
      </c>
      <c r="B29" s="15">
        <v>162</v>
      </c>
      <c r="C29" s="15"/>
      <c r="D29" s="15"/>
      <c r="E29" s="15" t="s">
        <v>57</v>
      </c>
      <c r="F29" s="15">
        <v>147</v>
      </c>
      <c r="G29" s="15"/>
      <c r="H29" s="15"/>
      <c r="I29" s="15"/>
      <c r="J29" s="15"/>
    </row>
    <row r="30" spans="1:10" x14ac:dyDescent="0.25">
      <c r="A30" s="15" t="s">
        <v>1583</v>
      </c>
      <c r="B30" s="15">
        <v>118</v>
      </c>
      <c r="C30" s="17">
        <f t="shared" ref="C30:C35" si="1">B30/B29</f>
        <v>0.72839506172839508</v>
      </c>
      <c r="D30" s="15"/>
      <c r="E30" s="15" t="s">
        <v>1583</v>
      </c>
      <c r="F30" s="15">
        <v>106</v>
      </c>
      <c r="G30" s="17">
        <f t="shared" ref="G30:G35" si="2">F30/F29</f>
        <v>0.72108843537414968</v>
      </c>
      <c r="H30" s="15"/>
      <c r="I30" s="15"/>
      <c r="J30" s="15"/>
    </row>
    <row r="31" spans="1:10" x14ac:dyDescent="0.25">
      <c r="A31" s="15" t="s">
        <v>1584</v>
      </c>
      <c r="B31" s="15">
        <v>94</v>
      </c>
      <c r="C31" s="17">
        <f t="shared" si="1"/>
        <v>0.79661016949152541</v>
      </c>
      <c r="D31" s="15"/>
      <c r="E31" s="15" t="s">
        <v>1584</v>
      </c>
      <c r="F31" s="15">
        <v>82</v>
      </c>
      <c r="G31" s="17">
        <f t="shared" si="2"/>
        <v>0.77358490566037741</v>
      </c>
      <c r="H31" s="15"/>
      <c r="I31" s="15"/>
      <c r="J31" s="15"/>
    </row>
    <row r="32" spans="1:10" x14ac:dyDescent="0.25">
      <c r="A32" s="15" t="s">
        <v>1585</v>
      </c>
      <c r="B32" s="15">
        <v>70</v>
      </c>
      <c r="C32" s="17">
        <f t="shared" si="1"/>
        <v>0.74468085106382975</v>
      </c>
      <c r="D32" s="15"/>
      <c r="E32" s="15" t="s">
        <v>1585</v>
      </c>
      <c r="F32" s="15">
        <v>62</v>
      </c>
      <c r="G32" s="17">
        <f t="shared" si="2"/>
        <v>0.75609756097560976</v>
      </c>
      <c r="H32" s="15"/>
      <c r="I32" s="15"/>
      <c r="J32" s="15"/>
    </row>
    <row r="33" spans="1:10" x14ac:dyDescent="0.25">
      <c r="A33" s="15" t="s">
        <v>1586</v>
      </c>
      <c r="B33" s="15">
        <v>63</v>
      </c>
      <c r="C33" s="17">
        <f t="shared" si="1"/>
        <v>0.9</v>
      </c>
      <c r="D33" s="15"/>
      <c r="E33" s="15" t="s">
        <v>1586</v>
      </c>
      <c r="F33" s="15">
        <v>49</v>
      </c>
      <c r="G33" s="17">
        <f t="shared" si="2"/>
        <v>0.79032258064516125</v>
      </c>
      <c r="H33" s="15"/>
      <c r="I33" s="15"/>
      <c r="J33" s="15"/>
    </row>
    <row r="34" spans="1:10" x14ac:dyDescent="0.25">
      <c r="A34" s="15" t="s">
        <v>316</v>
      </c>
      <c r="B34" s="15">
        <v>15</v>
      </c>
      <c r="C34" s="18">
        <f t="shared" si="1"/>
        <v>0.23809523809523808</v>
      </c>
      <c r="D34" s="15"/>
      <c r="E34" s="15" t="s">
        <v>316</v>
      </c>
      <c r="F34" s="15">
        <v>19</v>
      </c>
      <c r="G34" s="18">
        <f t="shared" si="2"/>
        <v>0.38775510204081631</v>
      </c>
      <c r="H34" s="15"/>
      <c r="I34" s="15"/>
      <c r="J34" s="15"/>
    </row>
    <row r="35" spans="1:10" x14ac:dyDescent="0.25">
      <c r="A35" s="15" t="s">
        <v>134</v>
      </c>
      <c r="B35" s="15">
        <v>11</v>
      </c>
      <c r="C35" s="17">
        <f t="shared" si="1"/>
        <v>0.73333333333333328</v>
      </c>
      <c r="D35" s="15"/>
      <c r="E35" s="15" t="s">
        <v>134</v>
      </c>
      <c r="F35" s="15">
        <v>17</v>
      </c>
      <c r="G35" s="17">
        <f t="shared" si="2"/>
        <v>0.89473684210526316</v>
      </c>
      <c r="H35" s="15"/>
      <c r="I35" s="15"/>
      <c r="J35" s="15"/>
    </row>
    <row r="36" spans="1:10" x14ac:dyDescent="0.25">
      <c r="A36" s="15"/>
      <c r="B36" s="15"/>
      <c r="C36" s="15"/>
      <c r="D36" s="15"/>
      <c r="E36" s="15"/>
      <c r="F36" s="15"/>
      <c r="G36" s="15"/>
      <c r="H36" s="15"/>
      <c r="I36" s="15"/>
      <c r="J36" s="15"/>
    </row>
    <row r="37" spans="1:10" ht="13" x14ac:dyDescent="0.3">
      <c r="A37" s="79" t="s">
        <v>102</v>
      </c>
      <c r="B37" s="79"/>
      <c r="C37" s="79"/>
      <c r="D37" s="15"/>
      <c r="E37" s="79" t="s">
        <v>52</v>
      </c>
      <c r="F37" s="79"/>
      <c r="G37" s="79"/>
      <c r="H37" s="15"/>
      <c r="I37" s="15"/>
      <c r="J37" s="15"/>
    </row>
    <row r="38" spans="1:10" ht="13" x14ac:dyDescent="0.3">
      <c r="A38" s="16" t="s">
        <v>1588</v>
      </c>
      <c r="B38" s="16" t="s">
        <v>1589</v>
      </c>
      <c r="C38" s="16" t="s">
        <v>1590</v>
      </c>
      <c r="D38" s="15"/>
      <c r="E38" s="31" t="s">
        <v>1588</v>
      </c>
      <c r="F38" s="31" t="s">
        <v>1589</v>
      </c>
      <c r="G38" s="31" t="s">
        <v>1590</v>
      </c>
      <c r="H38" s="15"/>
      <c r="I38" s="15"/>
      <c r="J38" s="15"/>
    </row>
    <row r="39" spans="1:10" x14ac:dyDescent="0.25">
      <c r="A39" s="15" t="s">
        <v>57</v>
      </c>
      <c r="B39" s="15">
        <v>165</v>
      </c>
      <c r="C39" s="15"/>
      <c r="D39" s="15"/>
      <c r="E39" s="15" t="s">
        <v>57</v>
      </c>
      <c r="F39" s="15">
        <v>127</v>
      </c>
      <c r="G39" s="15"/>
      <c r="H39" s="15"/>
      <c r="I39" s="15"/>
      <c r="J39" s="15"/>
    </row>
    <row r="40" spans="1:10" x14ac:dyDescent="0.25">
      <c r="A40" s="15" t="s">
        <v>1583</v>
      </c>
      <c r="B40" s="15">
        <v>105</v>
      </c>
      <c r="C40" s="17">
        <f>B40/B39</f>
        <v>0.63636363636363635</v>
      </c>
      <c r="D40" s="15"/>
      <c r="E40" s="15" t="s">
        <v>1583</v>
      </c>
      <c r="F40" s="15">
        <v>79</v>
      </c>
      <c r="G40" s="17">
        <f>F40/F39</f>
        <v>0.62204724409448819</v>
      </c>
      <c r="H40" s="15"/>
      <c r="I40" s="15"/>
      <c r="J40" s="15"/>
    </row>
    <row r="41" spans="1:10" x14ac:dyDescent="0.25">
      <c r="A41" s="15" t="s">
        <v>1584</v>
      </c>
      <c r="B41" s="15">
        <v>77</v>
      </c>
      <c r="C41" s="17">
        <f t="shared" ref="C41:C45" si="3">B41/B40</f>
        <v>0.73333333333333328</v>
      </c>
      <c r="D41" s="15"/>
      <c r="E41" s="15" t="s">
        <v>1584</v>
      </c>
      <c r="F41" s="15">
        <v>55</v>
      </c>
      <c r="G41" s="17">
        <f t="shared" ref="G41:G45" si="4">F41/F40</f>
        <v>0.69620253164556967</v>
      </c>
      <c r="H41" s="15"/>
      <c r="I41" s="15"/>
      <c r="J41" s="15"/>
    </row>
    <row r="42" spans="1:10" x14ac:dyDescent="0.25">
      <c r="A42" s="15" t="s">
        <v>1585</v>
      </c>
      <c r="B42" s="15">
        <v>59</v>
      </c>
      <c r="C42" s="17">
        <f t="shared" si="3"/>
        <v>0.76623376623376627</v>
      </c>
      <c r="D42" s="15"/>
      <c r="E42" s="15" t="s">
        <v>1585</v>
      </c>
      <c r="F42" s="15">
        <v>43</v>
      </c>
      <c r="G42" s="17">
        <f t="shared" si="4"/>
        <v>0.78181818181818186</v>
      </c>
      <c r="H42" s="15"/>
      <c r="I42" s="15"/>
      <c r="J42" s="15"/>
    </row>
    <row r="43" spans="1:10" x14ac:dyDescent="0.25">
      <c r="A43" s="15" t="s">
        <v>1586</v>
      </c>
      <c r="B43" s="15">
        <v>49</v>
      </c>
      <c r="C43" s="17">
        <f t="shared" si="3"/>
        <v>0.83050847457627119</v>
      </c>
      <c r="D43" s="15"/>
      <c r="E43" s="15" t="s">
        <v>1586</v>
      </c>
      <c r="F43" s="15">
        <v>40</v>
      </c>
      <c r="G43" s="17">
        <f t="shared" si="4"/>
        <v>0.93023255813953487</v>
      </c>
      <c r="H43" s="15"/>
      <c r="I43" s="15"/>
      <c r="J43" s="15"/>
    </row>
    <row r="44" spans="1:10" x14ac:dyDescent="0.25">
      <c r="A44" s="15" t="s">
        <v>316</v>
      </c>
      <c r="B44" s="15">
        <v>17</v>
      </c>
      <c r="C44" s="18">
        <f t="shared" si="3"/>
        <v>0.34693877551020408</v>
      </c>
      <c r="D44" s="15"/>
      <c r="E44" s="15" t="s">
        <v>316</v>
      </c>
      <c r="F44" s="15">
        <v>11</v>
      </c>
      <c r="G44" s="18">
        <f t="shared" si="4"/>
        <v>0.27500000000000002</v>
      </c>
      <c r="H44" s="15"/>
      <c r="I44" s="15"/>
      <c r="J44" s="15"/>
    </row>
    <row r="45" spans="1:10" x14ac:dyDescent="0.25">
      <c r="A45" s="15" t="s">
        <v>134</v>
      </c>
      <c r="B45" s="15">
        <v>14</v>
      </c>
      <c r="C45" s="17">
        <f t="shared" si="3"/>
        <v>0.82352941176470584</v>
      </c>
      <c r="D45" s="15"/>
      <c r="E45" s="15" t="s">
        <v>134</v>
      </c>
      <c r="F45" s="15">
        <v>7</v>
      </c>
      <c r="G45" s="17">
        <f t="shared" si="4"/>
        <v>0.63636363636363635</v>
      </c>
      <c r="H45" s="15"/>
      <c r="I45" s="15"/>
      <c r="J45" s="15"/>
    </row>
    <row r="46" spans="1:10" x14ac:dyDescent="0.25">
      <c r="A46" s="15"/>
      <c r="B46" s="15"/>
      <c r="C46" s="15"/>
      <c r="D46" s="15"/>
      <c r="E46" s="15"/>
      <c r="F46" s="15"/>
      <c r="G46" s="15"/>
      <c r="H46" s="15"/>
      <c r="I46" s="15"/>
      <c r="J46" s="15"/>
    </row>
    <row r="47" spans="1:10" ht="13" x14ac:dyDescent="0.3">
      <c r="A47" s="87" t="s">
        <v>1644</v>
      </c>
      <c r="B47" s="87"/>
      <c r="C47" s="87"/>
      <c r="D47" s="87"/>
      <c r="E47" s="87"/>
      <c r="F47" s="87"/>
      <c r="G47" s="87"/>
      <c r="H47" s="87"/>
      <c r="I47" s="87"/>
      <c r="J47" s="87"/>
    </row>
    <row r="48" spans="1:10" ht="12.5" customHeight="1" x14ac:dyDescent="0.25">
      <c r="A48" s="100" t="s">
        <v>1645</v>
      </c>
      <c r="B48" s="82"/>
      <c r="C48" s="82"/>
      <c r="D48" s="82"/>
      <c r="E48" s="82"/>
      <c r="F48" s="82"/>
      <c r="G48" s="82"/>
      <c r="H48" s="82"/>
      <c r="I48" s="82"/>
      <c r="J48" s="83"/>
    </row>
    <row r="49" spans="1:19" x14ac:dyDescent="0.25">
      <c r="A49" s="84"/>
      <c r="B49" s="85"/>
      <c r="C49" s="85"/>
      <c r="D49" s="85"/>
      <c r="E49" s="85"/>
      <c r="F49" s="85"/>
      <c r="G49" s="85"/>
      <c r="H49" s="85"/>
      <c r="I49" s="85"/>
      <c r="J49" s="86"/>
    </row>
    <row r="50" spans="1:19" x14ac:dyDescent="0.25">
      <c r="A50" s="34"/>
      <c r="B50" s="34"/>
      <c r="C50" s="34"/>
      <c r="D50" s="34"/>
      <c r="E50" s="34"/>
      <c r="F50" s="34"/>
      <c r="G50" s="34"/>
      <c r="H50" s="34"/>
      <c r="I50" s="34"/>
      <c r="J50" s="34"/>
    </row>
    <row r="51" spans="1:19" s="5" customFormat="1" ht="13" x14ac:dyDescent="0.25">
      <c r="A51" s="80" t="s">
        <v>1634</v>
      </c>
      <c r="B51" s="80"/>
      <c r="C51" s="80"/>
      <c r="D51" s="80"/>
      <c r="E51" s="80"/>
      <c r="F51" s="80"/>
      <c r="G51" s="80"/>
      <c r="H51" s="80"/>
      <c r="I51" s="80"/>
      <c r="J51" s="80"/>
      <c r="K51" s="21"/>
      <c r="L51" s="21"/>
      <c r="M51" s="21"/>
      <c r="N51" s="21"/>
      <c r="O51" s="21"/>
      <c r="P51" s="21"/>
      <c r="Q51" s="21"/>
      <c r="R51" s="21"/>
      <c r="S51" s="21"/>
    </row>
    <row r="52" spans="1:19" x14ac:dyDescent="0.25">
      <c r="A52" s="80" t="s">
        <v>1591</v>
      </c>
      <c r="B52" s="80" t="s">
        <v>1595</v>
      </c>
      <c r="C52" s="80" t="s">
        <v>1596</v>
      </c>
      <c r="D52" s="80" t="s">
        <v>1581</v>
      </c>
      <c r="E52" s="80" t="s">
        <v>1597</v>
      </c>
      <c r="F52" s="80" t="s">
        <v>1598</v>
      </c>
      <c r="G52" s="80"/>
      <c r="H52" s="80"/>
      <c r="I52" s="80"/>
      <c r="J52" s="80"/>
    </row>
    <row r="53" spans="1:19" ht="13" x14ac:dyDescent="0.3">
      <c r="A53" s="11"/>
      <c r="B53" s="11"/>
      <c r="C53" s="22"/>
      <c r="D53" s="11"/>
      <c r="E53" s="14"/>
      <c r="F53" s="23"/>
      <c r="G53" s="11"/>
      <c r="H53" s="11"/>
      <c r="I53" s="11"/>
      <c r="J53" s="11"/>
    </row>
    <row r="54" spans="1:19" ht="13" x14ac:dyDescent="0.3">
      <c r="A54" s="11"/>
      <c r="B54" s="11"/>
      <c r="C54" s="13" t="s">
        <v>1591</v>
      </c>
      <c r="D54" s="13" t="s">
        <v>1635</v>
      </c>
      <c r="E54" s="24" t="s">
        <v>134</v>
      </c>
      <c r="F54" s="24" t="s">
        <v>1636</v>
      </c>
      <c r="G54" s="25" t="s">
        <v>1637</v>
      </c>
      <c r="H54" s="26" t="s">
        <v>1638</v>
      </c>
      <c r="I54" s="11"/>
      <c r="J54" s="11"/>
    </row>
    <row r="55" spans="1:19" ht="13" x14ac:dyDescent="0.3">
      <c r="A55" s="11"/>
      <c r="B55" s="11"/>
      <c r="C55" s="11" t="s">
        <v>91</v>
      </c>
      <c r="D55" s="11">
        <v>61</v>
      </c>
      <c r="E55" s="22">
        <v>3</v>
      </c>
      <c r="F55" s="11">
        <v>64</v>
      </c>
      <c r="G55" s="14">
        <f t="shared" ref="G55:G62" si="5">F55/$F$63</f>
        <v>0.1064891846921797</v>
      </c>
      <c r="H55" s="6">
        <f t="shared" ref="H55:H62" si="6">E55/F55</f>
        <v>4.6875E-2</v>
      </c>
      <c r="I55" s="11"/>
      <c r="J55" s="11"/>
    </row>
    <row r="56" spans="1:19" ht="13" x14ac:dyDescent="0.3">
      <c r="A56" s="11"/>
      <c r="B56" s="11"/>
      <c r="C56" s="11" t="s">
        <v>115</v>
      </c>
      <c r="D56" s="11">
        <v>78</v>
      </c>
      <c r="E56" s="22">
        <v>4</v>
      </c>
      <c r="F56" s="11">
        <v>82</v>
      </c>
      <c r="G56" s="14">
        <f t="shared" si="5"/>
        <v>0.13643926788685523</v>
      </c>
      <c r="H56" s="6">
        <f t="shared" si="6"/>
        <v>4.878048780487805E-2</v>
      </c>
      <c r="I56" s="11"/>
      <c r="J56" s="11"/>
    </row>
    <row r="57" spans="1:19" x14ac:dyDescent="0.25">
      <c r="A57" s="11"/>
      <c r="B57" s="11"/>
      <c r="C57" s="11" t="s">
        <v>68</v>
      </c>
      <c r="D57" s="11">
        <v>62</v>
      </c>
      <c r="E57" s="22">
        <v>6</v>
      </c>
      <c r="F57" s="11">
        <v>68</v>
      </c>
      <c r="G57" s="14">
        <f t="shared" si="5"/>
        <v>0.11314475873544093</v>
      </c>
      <c r="H57" s="27">
        <f t="shared" si="6"/>
        <v>8.8235294117647065E-2</v>
      </c>
      <c r="I57" s="11"/>
      <c r="J57" s="11"/>
    </row>
    <row r="58" spans="1:19" x14ac:dyDescent="0.25">
      <c r="A58" s="11"/>
      <c r="B58" s="11"/>
      <c r="C58" s="11" t="s">
        <v>45</v>
      </c>
      <c r="D58" s="11">
        <v>68</v>
      </c>
      <c r="E58" s="22">
        <v>7</v>
      </c>
      <c r="F58" s="11">
        <v>75</v>
      </c>
      <c r="G58" s="14">
        <f t="shared" si="5"/>
        <v>0.12479201331114809</v>
      </c>
      <c r="H58" s="27">
        <f t="shared" si="6"/>
        <v>9.3333333333333338E-2</v>
      </c>
      <c r="I58" s="11"/>
      <c r="J58" s="11"/>
    </row>
    <row r="59" spans="1:19" ht="13" x14ac:dyDescent="0.3">
      <c r="A59" s="11"/>
      <c r="B59" s="11"/>
      <c r="C59" s="11" t="s">
        <v>129</v>
      </c>
      <c r="D59" s="11">
        <v>62</v>
      </c>
      <c r="E59" s="22">
        <v>7</v>
      </c>
      <c r="F59" s="11">
        <v>69</v>
      </c>
      <c r="G59" s="14">
        <f t="shared" si="5"/>
        <v>0.11480865224625623</v>
      </c>
      <c r="H59" s="8">
        <f t="shared" si="6"/>
        <v>0.10144927536231885</v>
      </c>
      <c r="I59" s="11"/>
      <c r="J59" s="11"/>
    </row>
    <row r="60" spans="1:19" x14ac:dyDescent="0.25">
      <c r="A60" s="11"/>
      <c r="B60" s="11"/>
      <c r="C60" s="11" t="s">
        <v>123</v>
      </c>
      <c r="D60" s="11">
        <v>74</v>
      </c>
      <c r="E60" s="22">
        <v>7</v>
      </c>
      <c r="F60" s="11">
        <v>81</v>
      </c>
      <c r="G60" s="14">
        <f t="shared" si="5"/>
        <v>0.13477537437603992</v>
      </c>
      <c r="H60" s="27">
        <f t="shared" si="6"/>
        <v>8.6419753086419748E-2</v>
      </c>
      <c r="I60" s="11"/>
      <c r="J60" s="11"/>
    </row>
    <row r="61" spans="1:19" x14ac:dyDescent="0.25">
      <c r="A61" s="11"/>
      <c r="B61" s="11"/>
      <c r="C61" s="11" t="s">
        <v>56</v>
      </c>
      <c r="D61" s="11">
        <v>82</v>
      </c>
      <c r="E61" s="22">
        <v>7</v>
      </c>
      <c r="F61" s="11">
        <v>89</v>
      </c>
      <c r="G61" s="28">
        <f t="shared" si="5"/>
        <v>0.1480865224625624</v>
      </c>
      <c r="H61" s="27">
        <f t="shared" si="6"/>
        <v>7.8651685393258425E-2</v>
      </c>
      <c r="I61" s="11"/>
      <c r="J61" s="11"/>
    </row>
    <row r="62" spans="1:19" ht="13" x14ac:dyDescent="0.3">
      <c r="A62" s="11"/>
      <c r="B62" s="11"/>
      <c r="C62" s="11" t="s">
        <v>146</v>
      </c>
      <c r="D62" s="11">
        <v>65</v>
      </c>
      <c r="E62" s="11">
        <v>8</v>
      </c>
      <c r="F62" s="11">
        <v>73</v>
      </c>
      <c r="G62" s="14">
        <f t="shared" si="5"/>
        <v>0.12146422628951747</v>
      </c>
      <c r="H62" s="8">
        <f t="shared" si="6"/>
        <v>0.1095890410958904</v>
      </c>
      <c r="I62" s="11"/>
      <c r="J62" s="11"/>
    </row>
    <row r="63" spans="1:19" x14ac:dyDescent="0.25">
      <c r="A63" s="11"/>
      <c r="B63" s="11"/>
      <c r="C63" s="11" t="s">
        <v>1581</v>
      </c>
      <c r="D63" s="11">
        <v>552</v>
      </c>
      <c r="E63" s="11">
        <v>49</v>
      </c>
      <c r="F63" s="11">
        <v>601</v>
      </c>
      <c r="G63" s="11"/>
      <c r="H63" s="11"/>
      <c r="I63" s="11"/>
      <c r="J63" s="11"/>
    </row>
    <row r="64" spans="1:19" x14ac:dyDescent="0.25">
      <c r="A64" s="11"/>
      <c r="B64" s="11"/>
      <c r="C64" s="11"/>
      <c r="D64" s="11"/>
      <c r="E64" s="11"/>
      <c r="F64" s="11"/>
      <c r="G64" s="11"/>
      <c r="H64" s="11"/>
      <c r="I64" s="11"/>
      <c r="J64" s="11"/>
    </row>
    <row r="65" spans="1:19" ht="13" x14ac:dyDescent="0.3">
      <c r="A65" s="66" t="s">
        <v>1628</v>
      </c>
      <c r="B65" s="66"/>
      <c r="C65" s="66"/>
      <c r="D65" s="66"/>
      <c r="E65" s="66"/>
      <c r="F65" s="66"/>
      <c r="G65" s="66"/>
      <c r="H65" s="66"/>
      <c r="I65" s="66"/>
      <c r="J65" s="66"/>
    </row>
    <row r="66" spans="1:19" ht="13" customHeight="1" x14ac:dyDescent="0.25">
      <c r="A66" s="115" t="s">
        <v>1639</v>
      </c>
      <c r="B66" s="68"/>
      <c r="C66" s="68"/>
      <c r="D66" s="68"/>
      <c r="E66" s="68"/>
      <c r="F66" s="68"/>
      <c r="G66" s="68"/>
      <c r="H66" s="68"/>
      <c r="I66" s="68"/>
      <c r="J66" s="69"/>
    </row>
    <row r="67" spans="1:19" ht="13" customHeight="1" x14ac:dyDescent="0.25">
      <c r="A67" s="70"/>
      <c r="B67" s="71"/>
      <c r="C67" s="71"/>
      <c r="D67" s="71"/>
      <c r="E67" s="71"/>
      <c r="F67" s="71"/>
      <c r="G67" s="71"/>
      <c r="H67" s="71"/>
      <c r="I67" s="71"/>
      <c r="J67" s="72"/>
    </row>
    <row r="68" spans="1:19" ht="13" customHeight="1" x14ac:dyDescent="0.25">
      <c r="A68" s="116" t="s">
        <v>1646</v>
      </c>
      <c r="B68" s="117"/>
      <c r="C68" s="117"/>
      <c r="D68" s="117"/>
      <c r="E68" s="117"/>
      <c r="F68" s="117"/>
      <c r="G68" s="117"/>
      <c r="H68" s="117"/>
      <c r="I68" s="117"/>
      <c r="J68" s="118"/>
    </row>
    <row r="69" spans="1:19" ht="13" customHeight="1" x14ac:dyDescent="0.25">
      <c r="A69" s="119"/>
      <c r="B69" s="120"/>
      <c r="C69" s="120"/>
      <c r="D69" s="120"/>
      <c r="E69" s="120"/>
      <c r="F69" s="120"/>
      <c r="G69" s="120"/>
      <c r="H69" s="120"/>
      <c r="I69" s="120"/>
      <c r="J69" s="121"/>
    </row>
    <row r="70" spans="1:19" ht="13" x14ac:dyDescent="0.3">
      <c r="A70" s="16"/>
      <c r="B70" s="16"/>
      <c r="C70" s="16"/>
      <c r="D70" s="16"/>
      <c r="E70" s="16"/>
      <c r="F70" s="16"/>
      <c r="G70" s="16"/>
      <c r="H70" s="16"/>
      <c r="I70" s="16"/>
      <c r="J70" s="16"/>
    </row>
    <row r="71" spans="1:19" x14ac:dyDescent="0.25">
      <c r="A71" s="80" t="s">
        <v>1640</v>
      </c>
      <c r="B71" s="80"/>
      <c r="C71" s="80"/>
      <c r="D71" s="80"/>
      <c r="E71" s="80"/>
      <c r="F71" s="80"/>
      <c r="G71" s="80"/>
      <c r="H71" s="80"/>
      <c r="I71" s="80"/>
      <c r="J71" s="80"/>
    </row>
    <row r="72" spans="1:19" x14ac:dyDescent="0.25">
      <c r="A72" s="80"/>
      <c r="B72" s="80"/>
      <c r="C72" s="80"/>
      <c r="D72" s="80"/>
      <c r="E72" s="80"/>
      <c r="F72" s="80"/>
      <c r="G72" s="80"/>
      <c r="H72" s="80"/>
      <c r="I72" s="80"/>
      <c r="J72" s="80"/>
    </row>
    <row r="73" spans="1:19" ht="13" x14ac:dyDescent="0.3">
      <c r="A73" s="13"/>
      <c r="B73" s="13"/>
      <c r="C73" s="13"/>
      <c r="D73" s="13"/>
      <c r="E73" s="13"/>
      <c r="F73" s="13"/>
      <c r="G73" s="13"/>
      <c r="H73" s="13"/>
      <c r="I73" s="13"/>
      <c r="J73" s="13"/>
    </row>
    <row r="74" spans="1:19" ht="13" x14ac:dyDescent="0.3">
      <c r="A74" s="13" t="s">
        <v>84</v>
      </c>
      <c r="B74" s="13" t="s">
        <v>1595</v>
      </c>
      <c r="C74" s="13" t="s">
        <v>1596</v>
      </c>
      <c r="D74" s="13" t="s">
        <v>1589</v>
      </c>
      <c r="E74" s="13" t="s">
        <v>1599</v>
      </c>
      <c r="F74" s="13"/>
      <c r="G74" s="13"/>
      <c r="H74" s="13"/>
      <c r="I74" s="13"/>
      <c r="J74" s="13"/>
    </row>
    <row r="75" spans="1:19" ht="13" x14ac:dyDescent="0.3">
      <c r="A75" s="11" t="s">
        <v>67</v>
      </c>
      <c r="B75" s="11">
        <v>99</v>
      </c>
      <c r="C75" s="11">
        <v>4</v>
      </c>
      <c r="D75" s="11">
        <v>103</v>
      </c>
      <c r="E75" s="27">
        <f t="shared" ref="E75:E80" si="7">C75/D75</f>
        <v>3.8834951456310676E-2</v>
      </c>
      <c r="F75" s="13"/>
      <c r="G75" s="13"/>
      <c r="H75" s="13"/>
      <c r="I75" s="13"/>
      <c r="J75" s="13"/>
    </row>
    <row r="76" spans="1:19" s="5" customFormat="1" ht="13" x14ac:dyDescent="0.25">
      <c r="A76" s="11" t="s">
        <v>141</v>
      </c>
      <c r="B76" s="11">
        <v>98</v>
      </c>
      <c r="C76" s="11">
        <v>5</v>
      </c>
      <c r="D76" s="11">
        <v>103</v>
      </c>
      <c r="E76" s="27">
        <f t="shared" si="7"/>
        <v>4.8543689320388349E-2</v>
      </c>
      <c r="F76" s="20"/>
      <c r="G76" s="20"/>
      <c r="H76" s="20"/>
      <c r="I76" s="20"/>
      <c r="J76" s="20"/>
      <c r="K76" s="21"/>
      <c r="L76" s="21"/>
      <c r="M76" s="21"/>
      <c r="N76" s="21"/>
      <c r="O76" s="21"/>
      <c r="P76" s="21"/>
      <c r="Q76" s="21"/>
      <c r="R76" s="21"/>
      <c r="S76" s="21"/>
    </row>
    <row r="77" spans="1:19" x14ac:dyDescent="0.25">
      <c r="A77" s="11" t="s">
        <v>114</v>
      </c>
      <c r="B77" s="11">
        <v>115</v>
      </c>
      <c r="C77" s="11">
        <v>6</v>
      </c>
      <c r="D77" s="11">
        <v>121</v>
      </c>
      <c r="E77" s="36">
        <f t="shared" si="7"/>
        <v>4.9586776859504134E-2</v>
      </c>
      <c r="F77" s="11"/>
      <c r="G77" s="11"/>
      <c r="H77" s="11"/>
      <c r="I77" s="11"/>
      <c r="J77" s="11"/>
    </row>
    <row r="78" spans="1:19" x14ac:dyDescent="0.25">
      <c r="A78" s="11" t="s">
        <v>44</v>
      </c>
      <c r="B78" s="11">
        <v>92</v>
      </c>
      <c r="C78" s="11">
        <v>9</v>
      </c>
      <c r="D78" s="11">
        <v>101</v>
      </c>
      <c r="E78" s="27">
        <f t="shared" si="7"/>
        <v>8.9108910891089105E-2</v>
      </c>
      <c r="F78" s="11"/>
      <c r="G78" s="11"/>
      <c r="H78" s="11"/>
      <c r="I78" s="11"/>
      <c r="J78" s="11"/>
    </row>
    <row r="79" spans="1:19" ht="13" x14ac:dyDescent="0.3">
      <c r="A79" s="11" t="s">
        <v>55</v>
      </c>
      <c r="B79" s="11">
        <v>65</v>
      </c>
      <c r="C79" s="11">
        <v>10</v>
      </c>
      <c r="D79" s="11">
        <v>75</v>
      </c>
      <c r="E79" s="35">
        <f t="shared" si="7"/>
        <v>0.13333333333333333</v>
      </c>
      <c r="F79" s="11"/>
      <c r="G79" s="11"/>
      <c r="H79" s="11"/>
      <c r="I79" s="11"/>
      <c r="J79" s="11"/>
    </row>
    <row r="80" spans="1:19" ht="13" x14ac:dyDescent="0.3">
      <c r="A80" s="11" t="s">
        <v>90</v>
      </c>
      <c r="B80" s="11">
        <v>83</v>
      </c>
      <c r="C80" s="11">
        <v>15</v>
      </c>
      <c r="D80" s="11">
        <v>98</v>
      </c>
      <c r="E80" s="35">
        <f t="shared" si="7"/>
        <v>0.15306122448979592</v>
      </c>
      <c r="F80" s="11"/>
      <c r="G80" s="11"/>
      <c r="H80" s="11"/>
      <c r="I80" s="11"/>
      <c r="J80" s="11"/>
    </row>
    <row r="81" spans="1:10" x14ac:dyDescent="0.25">
      <c r="A81" s="11" t="s">
        <v>1581</v>
      </c>
      <c r="B81" s="11">
        <v>552</v>
      </c>
      <c r="C81" s="11">
        <v>49</v>
      </c>
      <c r="D81" s="11">
        <v>601</v>
      </c>
      <c r="E81" s="11"/>
      <c r="F81" s="11"/>
      <c r="G81" s="11"/>
      <c r="H81" s="11"/>
      <c r="I81" s="11"/>
      <c r="J81" s="11"/>
    </row>
    <row r="82" spans="1:10" x14ac:dyDescent="0.25">
      <c r="A82" s="11"/>
      <c r="B82" s="11"/>
      <c r="C82" s="11"/>
      <c r="D82" s="11"/>
      <c r="E82" s="11"/>
      <c r="F82" s="11"/>
      <c r="G82" s="11"/>
      <c r="H82" s="11"/>
      <c r="I82" s="11"/>
      <c r="J82" s="11"/>
    </row>
    <row r="83" spans="1:10" ht="13" x14ac:dyDescent="0.3">
      <c r="A83" s="66" t="s">
        <v>1628</v>
      </c>
      <c r="B83" s="66"/>
      <c r="C83" s="66"/>
      <c r="D83" s="66"/>
      <c r="E83" s="66"/>
      <c r="F83" s="66"/>
      <c r="G83" s="66"/>
      <c r="H83" s="66"/>
      <c r="I83" s="66"/>
      <c r="J83" s="66"/>
    </row>
    <row r="84" spans="1:10" x14ac:dyDescent="0.25">
      <c r="A84" s="67" t="s">
        <v>1647</v>
      </c>
      <c r="B84" s="68"/>
      <c r="C84" s="68"/>
      <c r="D84" s="68"/>
      <c r="E84" s="68"/>
      <c r="F84" s="68"/>
      <c r="G84" s="68"/>
      <c r="H84" s="68"/>
      <c r="I84" s="68"/>
      <c r="J84" s="69"/>
    </row>
    <row r="85" spans="1:10" x14ac:dyDescent="0.25">
      <c r="A85" s="70"/>
      <c r="B85" s="71"/>
      <c r="C85" s="71"/>
      <c r="D85" s="71"/>
      <c r="E85" s="71"/>
      <c r="F85" s="71"/>
      <c r="G85" s="71"/>
      <c r="H85" s="71"/>
      <c r="I85" s="71"/>
      <c r="J85" s="72"/>
    </row>
    <row r="86" spans="1:10" x14ac:dyDescent="0.25">
      <c r="A86" s="73" t="s">
        <v>1648</v>
      </c>
      <c r="B86" s="74"/>
      <c r="C86" s="74"/>
      <c r="D86" s="74"/>
      <c r="E86" s="74"/>
      <c r="F86" s="74"/>
      <c r="G86" s="74"/>
      <c r="H86" s="74"/>
      <c r="I86" s="74"/>
      <c r="J86" s="75"/>
    </row>
    <row r="87" spans="1:10" x14ac:dyDescent="0.25">
      <c r="A87" s="76"/>
      <c r="B87" s="77"/>
      <c r="C87" s="77"/>
      <c r="D87" s="77"/>
      <c r="E87" s="77"/>
      <c r="F87" s="77"/>
      <c r="G87" s="77"/>
      <c r="H87" s="77"/>
      <c r="I87" s="77"/>
      <c r="J87" s="78"/>
    </row>
    <row r="88" spans="1:10" x14ac:dyDescent="0.25">
      <c r="A88" s="29"/>
      <c r="B88" s="29"/>
      <c r="C88" s="29"/>
      <c r="D88" s="29"/>
      <c r="E88" s="29"/>
      <c r="F88" s="11"/>
      <c r="G88" s="11"/>
      <c r="H88" s="11"/>
      <c r="I88" s="11"/>
      <c r="J88" s="11"/>
    </row>
    <row r="89" spans="1:10" x14ac:dyDescent="0.25">
      <c r="A89" s="80" t="s">
        <v>1641</v>
      </c>
      <c r="B89" s="80"/>
      <c r="C89" s="80"/>
      <c r="D89" s="80"/>
      <c r="E89" s="80"/>
      <c r="F89" s="80"/>
      <c r="G89" s="80"/>
      <c r="H89" s="80"/>
      <c r="I89" s="80"/>
      <c r="J89" s="80"/>
    </row>
    <row r="90" spans="1:10" x14ac:dyDescent="0.25">
      <c r="A90" s="80"/>
      <c r="B90" s="80"/>
      <c r="C90" s="80"/>
      <c r="D90" s="80"/>
      <c r="E90" s="80"/>
      <c r="F90" s="80"/>
      <c r="G90" s="80"/>
      <c r="H90" s="80"/>
      <c r="I90" s="80"/>
      <c r="J90" s="80"/>
    </row>
    <row r="91" spans="1:10" x14ac:dyDescent="0.25">
      <c r="A91" s="29"/>
      <c r="B91" s="29"/>
      <c r="C91" s="29"/>
      <c r="D91" s="29"/>
      <c r="E91" s="29"/>
      <c r="F91" s="11"/>
      <c r="G91" s="11"/>
      <c r="H91" s="11"/>
      <c r="I91" s="11"/>
      <c r="J91" s="11"/>
    </row>
    <row r="92" spans="1:10" ht="13" x14ac:dyDescent="0.3">
      <c r="A92" s="13" t="s">
        <v>1600</v>
      </c>
      <c r="B92" s="13" t="s">
        <v>1601</v>
      </c>
      <c r="C92" s="11"/>
      <c r="D92" s="11"/>
      <c r="E92" s="11"/>
      <c r="F92" s="11"/>
      <c r="G92" s="11"/>
      <c r="H92" s="11"/>
      <c r="I92" s="11"/>
      <c r="J92" s="11"/>
    </row>
    <row r="93" spans="1:10" ht="13" x14ac:dyDescent="0.3">
      <c r="A93" s="11" t="s">
        <v>1603</v>
      </c>
      <c r="B93" s="30">
        <v>7.8E-2</v>
      </c>
      <c r="C93" s="11"/>
      <c r="D93" s="88" t="s">
        <v>1632</v>
      </c>
      <c r="E93" s="88"/>
      <c r="F93" s="88"/>
      <c r="G93" s="88"/>
      <c r="H93" s="88"/>
      <c r="I93" s="88"/>
      <c r="J93" s="11"/>
    </row>
    <row r="94" spans="1:10" x14ac:dyDescent="0.25">
      <c r="A94" s="11" t="s">
        <v>1606</v>
      </c>
      <c r="B94" s="30">
        <v>9.2999999999999999E-2</v>
      </c>
      <c r="C94" s="11"/>
      <c r="D94" s="67" t="s">
        <v>1649</v>
      </c>
      <c r="E94" s="95"/>
      <c r="F94" s="95"/>
      <c r="G94" s="95"/>
      <c r="H94" s="95"/>
      <c r="I94" s="96"/>
      <c r="J94" s="11"/>
    </row>
    <row r="95" spans="1:10" x14ac:dyDescent="0.25">
      <c r="A95" s="11" t="s">
        <v>1607</v>
      </c>
      <c r="B95" s="30">
        <v>0.115</v>
      </c>
      <c r="C95" s="11"/>
      <c r="D95" s="112"/>
      <c r="E95" s="113"/>
      <c r="F95" s="113"/>
      <c r="G95" s="113"/>
      <c r="H95" s="113"/>
      <c r="I95" s="114"/>
      <c r="J95" s="11"/>
    </row>
    <row r="96" spans="1:10" x14ac:dyDescent="0.25">
      <c r="A96" s="11" t="s">
        <v>1602</v>
      </c>
      <c r="B96" s="30">
        <v>0.13800000000000001</v>
      </c>
      <c r="C96" s="11"/>
      <c r="D96" s="97"/>
      <c r="E96" s="98"/>
      <c r="F96" s="98"/>
      <c r="G96" s="98"/>
      <c r="H96" s="98"/>
      <c r="I96" s="99"/>
      <c r="J96" s="11"/>
    </row>
    <row r="97" spans="1:10" x14ac:dyDescent="0.25">
      <c r="A97" s="11" t="s">
        <v>1604</v>
      </c>
      <c r="B97" s="30">
        <v>0.13800000000000001</v>
      </c>
      <c r="C97" s="11"/>
      <c r="D97" s="11"/>
      <c r="E97" s="11"/>
      <c r="F97" s="11"/>
      <c r="G97" s="11"/>
      <c r="H97" s="11"/>
      <c r="I97" s="11"/>
      <c r="J97" s="11"/>
    </row>
    <row r="98" spans="1:10" x14ac:dyDescent="0.25">
      <c r="A98" s="11" t="s">
        <v>1605</v>
      </c>
      <c r="B98" s="30">
        <v>0.14899999999999999</v>
      </c>
      <c r="C98" s="11"/>
      <c r="D98" s="11"/>
      <c r="E98" s="11"/>
      <c r="F98" s="11"/>
      <c r="G98" s="11"/>
      <c r="H98" s="11"/>
      <c r="I98" s="11"/>
      <c r="J98" s="11"/>
    </row>
    <row r="99" spans="1:10" x14ac:dyDescent="0.25">
      <c r="A99" s="11"/>
      <c r="B99" s="11"/>
      <c r="C99" s="11"/>
      <c r="D99" s="11"/>
      <c r="E99" s="11"/>
      <c r="F99" s="11"/>
      <c r="G99" s="11"/>
      <c r="H99" s="11"/>
      <c r="I99" s="11"/>
      <c r="J99" s="11"/>
    </row>
    <row r="100" spans="1:10" x14ac:dyDescent="0.25">
      <c r="A100" s="32"/>
      <c r="B100" s="11"/>
      <c r="C100" s="11"/>
      <c r="D100" s="11"/>
      <c r="E100" s="11"/>
      <c r="F100" s="11"/>
      <c r="G100" s="11"/>
      <c r="H100" s="11"/>
      <c r="I100" s="11"/>
      <c r="J100" s="11"/>
    </row>
    <row r="101" spans="1:10" x14ac:dyDescent="0.25">
      <c r="A101" s="11"/>
      <c r="B101" s="11"/>
      <c r="C101" s="11"/>
      <c r="D101" s="11"/>
      <c r="E101" s="11"/>
      <c r="F101" s="11"/>
      <c r="G101" s="11"/>
      <c r="H101" s="11"/>
      <c r="I101" s="11"/>
      <c r="J101" s="11"/>
    </row>
    <row r="102" spans="1:10" x14ac:dyDescent="0.25">
      <c r="A102" s="11"/>
      <c r="B102" s="11"/>
      <c r="C102" s="11"/>
      <c r="D102" s="11"/>
      <c r="E102" s="11"/>
      <c r="F102" s="11"/>
      <c r="G102" s="11"/>
      <c r="H102" s="11"/>
      <c r="I102" s="11"/>
      <c r="J102" s="11"/>
    </row>
    <row r="103" spans="1:10" ht="13" x14ac:dyDescent="0.3">
      <c r="A103" s="13" t="s">
        <v>1608</v>
      </c>
      <c r="B103" s="13" t="s">
        <v>1609</v>
      </c>
      <c r="C103" s="13" t="s">
        <v>134</v>
      </c>
      <c r="D103" s="11"/>
      <c r="E103" s="11"/>
      <c r="F103" s="11"/>
      <c r="G103" s="11"/>
      <c r="H103" s="11"/>
      <c r="I103" s="11"/>
      <c r="J103" s="11"/>
    </row>
    <row r="104" spans="1:10" x14ac:dyDescent="0.25">
      <c r="A104" s="11" t="s">
        <v>1613</v>
      </c>
      <c r="B104" s="11">
        <v>5.5</v>
      </c>
      <c r="C104" s="11">
        <v>6.5</v>
      </c>
      <c r="D104" s="11"/>
      <c r="E104" s="11"/>
      <c r="F104" s="11"/>
      <c r="G104" s="11"/>
      <c r="H104" s="11"/>
      <c r="I104" s="11"/>
      <c r="J104" s="11"/>
    </row>
    <row r="105" spans="1:10" x14ac:dyDescent="0.25">
      <c r="A105" s="11" t="s">
        <v>1611</v>
      </c>
      <c r="B105" s="11">
        <v>74</v>
      </c>
      <c r="C105" s="11">
        <v>80.099999999999994</v>
      </c>
      <c r="D105" s="11"/>
      <c r="E105" s="11"/>
      <c r="F105" s="11"/>
      <c r="G105" s="11"/>
      <c r="H105" s="11"/>
      <c r="I105" s="11"/>
      <c r="J105" s="11"/>
    </row>
    <row r="106" spans="1:10" x14ac:dyDescent="0.25">
      <c r="A106" s="11" t="s">
        <v>1612</v>
      </c>
      <c r="B106" s="11">
        <v>73.099999999999994</v>
      </c>
      <c r="C106" s="11">
        <v>80.900000000000006</v>
      </c>
      <c r="D106" s="11"/>
      <c r="E106" s="11"/>
      <c r="F106" s="11"/>
      <c r="G106" s="11"/>
      <c r="H106" s="11"/>
      <c r="I106" s="11"/>
      <c r="J106" s="11"/>
    </row>
    <row r="107" spans="1:10" x14ac:dyDescent="0.25">
      <c r="A107" s="11" t="s">
        <v>1610</v>
      </c>
      <c r="B107" s="11">
        <v>72.900000000000006</v>
      </c>
      <c r="C107" s="11">
        <v>82.4</v>
      </c>
      <c r="D107" s="11"/>
      <c r="E107" s="11"/>
      <c r="F107" s="11"/>
      <c r="G107" s="11"/>
      <c r="H107" s="11"/>
      <c r="I107" s="11"/>
      <c r="J107" s="11"/>
    </row>
    <row r="108" spans="1:10" x14ac:dyDescent="0.25">
      <c r="A108" s="11"/>
      <c r="B108" s="11"/>
      <c r="C108" s="11"/>
      <c r="D108" s="11"/>
      <c r="E108" s="11"/>
      <c r="F108" s="11"/>
      <c r="G108" s="11"/>
      <c r="H108" s="11"/>
      <c r="I108" s="11"/>
      <c r="J108" s="11"/>
    </row>
    <row r="109" spans="1:10" x14ac:dyDescent="0.25">
      <c r="A109" s="11"/>
      <c r="B109" s="11"/>
      <c r="C109" s="11"/>
      <c r="D109" s="11"/>
      <c r="E109" s="11"/>
      <c r="F109" s="11"/>
      <c r="G109" s="11"/>
      <c r="H109" s="11"/>
      <c r="I109" s="11"/>
      <c r="J109" s="11"/>
    </row>
    <row r="110" spans="1:10" x14ac:dyDescent="0.25">
      <c r="A110" s="11"/>
      <c r="B110" s="11"/>
      <c r="C110" s="11"/>
      <c r="D110" s="11"/>
      <c r="E110" s="11"/>
      <c r="F110" s="11"/>
      <c r="G110" s="11"/>
      <c r="H110" s="11"/>
      <c r="I110" s="11"/>
      <c r="J110" s="11"/>
    </row>
    <row r="111" spans="1:10" x14ac:dyDescent="0.25">
      <c r="A111" s="11"/>
      <c r="B111" s="11"/>
      <c r="C111" s="11"/>
      <c r="D111" s="11"/>
      <c r="E111" s="11"/>
      <c r="F111" s="11"/>
      <c r="G111" s="11"/>
      <c r="H111" s="11"/>
      <c r="I111" s="11"/>
      <c r="J111" s="11"/>
    </row>
    <row r="112" spans="1:10" x14ac:dyDescent="0.25">
      <c r="A112" s="11"/>
      <c r="B112" s="11"/>
      <c r="C112" s="11"/>
      <c r="D112" s="11"/>
      <c r="E112" s="11"/>
      <c r="F112" s="11"/>
      <c r="G112" s="11"/>
      <c r="H112" s="11"/>
      <c r="I112" s="11"/>
      <c r="J112" s="11"/>
    </row>
    <row r="113" spans="1:19" x14ac:dyDescent="0.25">
      <c r="A113" s="11"/>
      <c r="B113" s="11"/>
      <c r="C113" s="11"/>
      <c r="D113" s="11"/>
      <c r="E113" s="11"/>
      <c r="F113" s="11"/>
      <c r="G113" s="11"/>
      <c r="H113" s="11"/>
      <c r="I113" s="11"/>
      <c r="J113" s="11"/>
    </row>
    <row r="114" spans="1:19" ht="13" x14ac:dyDescent="0.3">
      <c r="A114" s="88" t="s">
        <v>1632</v>
      </c>
      <c r="B114" s="88"/>
      <c r="C114" s="88"/>
      <c r="D114" s="88"/>
      <c r="E114" s="88"/>
      <c r="F114" s="88"/>
      <c r="G114" s="88"/>
      <c r="H114" s="88"/>
      <c r="I114" s="88"/>
      <c r="J114" s="88"/>
    </row>
    <row r="115" spans="1:19" x14ac:dyDescent="0.25">
      <c r="A115" s="73" t="s">
        <v>1650</v>
      </c>
      <c r="B115" s="107"/>
      <c r="C115" s="107"/>
      <c r="D115" s="107"/>
      <c r="E115" s="107"/>
      <c r="F115" s="107"/>
      <c r="G115" s="107"/>
      <c r="H115" s="107"/>
      <c r="I115" s="107"/>
      <c r="J115" s="108"/>
    </row>
    <row r="116" spans="1:19" x14ac:dyDescent="0.25">
      <c r="A116" s="109"/>
      <c r="B116" s="110"/>
      <c r="C116" s="110"/>
      <c r="D116" s="110"/>
      <c r="E116" s="110"/>
      <c r="F116" s="110"/>
      <c r="G116" s="110"/>
      <c r="H116" s="110"/>
      <c r="I116" s="110"/>
      <c r="J116" s="111"/>
    </row>
    <row r="117" spans="1:19" x14ac:dyDescent="0.25">
      <c r="A117" s="11"/>
      <c r="B117" s="11"/>
      <c r="C117" s="11"/>
      <c r="D117" s="11"/>
      <c r="E117" s="11"/>
      <c r="F117" s="11"/>
      <c r="G117" s="11"/>
      <c r="H117" s="11"/>
      <c r="I117" s="11"/>
      <c r="J117" s="11"/>
    </row>
    <row r="118" spans="1:19" s="5" customFormat="1" ht="13" x14ac:dyDescent="0.25">
      <c r="A118" s="80" t="s">
        <v>1642</v>
      </c>
      <c r="B118" s="80"/>
      <c r="C118" s="80"/>
      <c r="D118" s="80"/>
      <c r="E118" s="80"/>
      <c r="F118" s="80"/>
      <c r="G118" s="80"/>
      <c r="H118" s="80"/>
      <c r="I118" s="80"/>
      <c r="J118" s="80"/>
      <c r="K118" s="21"/>
      <c r="L118" s="21"/>
      <c r="M118" s="21"/>
      <c r="N118" s="21"/>
      <c r="O118" s="21"/>
      <c r="P118" s="21"/>
      <c r="Q118" s="21"/>
      <c r="R118" s="21"/>
      <c r="S118" s="21"/>
    </row>
    <row r="119" spans="1:19" s="5" customFormat="1" ht="13" x14ac:dyDescent="0.25">
      <c r="A119" s="80"/>
      <c r="B119" s="80"/>
      <c r="C119" s="80"/>
      <c r="D119" s="80"/>
      <c r="E119" s="80"/>
      <c r="F119" s="80"/>
      <c r="G119" s="80"/>
      <c r="H119" s="80"/>
      <c r="I119" s="80"/>
      <c r="J119" s="80"/>
      <c r="K119" s="21"/>
      <c r="L119" s="21"/>
      <c r="M119" s="21"/>
      <c r="N119" s="21"/>
      <c r="O119" s="21"/>
      <c r="P119" s="21"/>
      <c r="Q119" s="21"/>
      <c r="R119" s="21"/>
      <c r="S119" s="21"/>
    </row>
    <row r="120" spans="1:19" s="5" customFormat="1" ht="18" x14ac:dyDescent="0.25">
      <c r="A120" s="33"/>
      <c r="B120" s="33"/>
      <c r="C120" s="33"/>
      <c r="D120" s="33"/>
      <c r="E120" s="33"/>
      <c r="F120" s="33"/>
      <c r="G120" s="33"/>
      <c r="H120" s="33"/>
      <c r="I120" s="33"/>
      <c r="J120" s="33"/>
      <c r="K120" s="21"/>
      <c r="L120" s="21"/>
      <c r="M120" s="21"/>
      <c r="N120" s="21"/>
      <c r="O120" s="21"/>
      <c r="P120" s="21"/>
      <c r="Q120" s="21"/>
      <c r="R120" s="21"/>
      <c r="S120" s="21"/>
    </row>
    <row r="121" spans="1:19" ht="13" x14ac:dyDescent="0.3">
      <c r="A121" s="11"/>
      <c r="B121" s="11"/>
      <c r="C121" s="11"/>
      <c r="D121" s="11"/>
      <c r="E121" s="10" t="s">
        <v>1615</v>
      </c>
      <c r="F121" s="10" t="s">
        <v>1589</v>
      </c>
      <c r="G121" s="13" t="s">
        <v>1643</v>
      </c>
      <c r="H121" s="11"/>
      <c r="I121" s="11"/>
      <c r="J121" s="11"/>
    </row>
    <row r="122" spans="1:19" x14ac:dyDescent="0.25">
      <c r="A122" s="11"/>
      <c r="B122" s="11"/>
      <c r="C122" s="11"/>
      <c r="D122" s="11"/>
      <c r="E122" s="11" t="s">
        <v>234</v>
      </c>
      <c r="F122" s="11">
        <v>12</v>
      </c>
      <c r="G122" s="14">
        <f t="shared" ref="G122:G131" si="8">F122/$F$132</f>
        <v>2.1739130434782608E-2</v>
      </c>
      <c r="H122" s="11"/>
      <c r="I122" s="11"/>
      <c r="J122" s="11"/>
    </row>
    <row r="123" spans="1:19" x14ac:dyDescent="0.25">
      <c r="A123" s="11"/>
      <c r="B123" s="11"/>
      <c r="C123" s="11"/>
      <c r="D123" s="11"/>
      <c r="E123" s="11" t="s">
        <v>176</v>
      </c>
      <c r="F123" s="11">
        <v>18</v>
      </c>
      <c r="G123" s="14">
        <f t="shared" si="8"/>
        <v>3.2608695652173912E-2</v>
      </c>
      <c r="H123" s="11"/>
      <c r="I123" s="11"/>
      <c r="J123" s="11"/>
    </row>
    <row r="124" spans="1:19" x14ac:dyDescent="0.25">
      <c r="A124" s="11"/>
      <c r="B124" s="11"/>
      <c r="C124" s="11"/>
      <c r="D124" s="11"/>
      <c r="E124" s="11" t="s">
        <v>117</v>
      </c>
      <c r="F124" s="11">
        <v>18</v>
      </c>
      <c r="G124" s="14">
        <f t="shared" si="8"/>
        <v>3.2608695652173912E-2</v>
      </c>
      <c r="H124" s="11"/>
      <c r="I124" s="11"/>
      <c r="J124" s="11"/>
    </row>
    <row r="125" spans="1:19" x14ac:dyDescent="0.25">
      <c r="A125" s="11"/>
      <c r="B125" s="11"/>
      <c r="C125" s="11"/>
      <c r="D125" s="11"/>
      <c r="E125" s="11" t="s">
        <v>361</v>
      </c>
      <c r="F125" s="11">
        <v>22</v>
      </c>
      <c r="G125" s="14">
        <f t="shared" si="8"/>
        <v>3.9855072463768113E-2</v>
      </c>
      <c r="H125" s="11"/>
      <c r="I125" s="11"/>
      <c r="J125" s="11"/>
    </row>
    <row r="126" spans="1:19" x14ac:dyDescent="0.25">
      <c r="A126" s="11"/>
      <c r="B126" s="11"/>
      <c r="C126" s="11"/>
      <c r="D126" s="11"/>
      <c r="E126" s="11" t="s">
        <v>207</v>
      </c>
      <c r="F126" s="11">
        <v>23</v>
      </c>
      <c r="G126" s="14">
        <f t="shared" si="8"/>
        <v>4.1666666666666664E-2</v>
      </c>
      <c r="H126" s="11"/>
      <c r="I126" s="11"/>
      <c r="J126" s="11"/>
    </row>
    <row r="127" spans="1:19" x14ac:dyDescent="0.25">
      <c r="A127" s="11"/>
      <c r="B127" s="11"/>
      <c r="C127" s="11"/>
      <c r="D127" s="11"/>
      <c r="E127" s="11" t="s">
        <v>152</v>
      </c>
      <c r="F127" s="11">
        <v>23</v>
      </c>
      <c r="G127" s="14">
        <f t="shared" si="8"/>
        <v>4.1666666666666664E-2</v>
      </c>
      <c r="H127" s="11"/>
      <c r="I127" s="11"/>
      <c r="J127" s="11"/>
    </row>
    <row r="128" spans="1:19" x14ac:dyDescent="0.25">
      <c r="A128" s="11"/>
      <c r="B128" s="11"/>
      <c r="C128" s="11"/>
      <c r="D128" s="11"/>
      <c r="E128" s="11" t="s">
        <v>287</v>
      </c>
      <c r="F128" s="11">
        <v>24</v>
      </c>
      <c r="G128" s="14">
        <f t="shared" si="8"/>
        <v>4.3478260869565216E-2</v>
      </c>
      <c r="H128" s="11"/>
      <c r="I128" s="11"/>
      <c r="J128" s="11"/>
    </row>
    <row r="129" spans="1:10" x14ac:dyDescent="0.25">
      <c r="A129" s="11"/>
      <c r="B129" s="11"/>
      <c r="C129" s="11"/>
      <c r="D129" s="11"/>
      <c r="E129" s="11" t="s">
        <v>124</v>
      </c>
      <c r="F129" s="11">
        <v>25</v>
      </c>
      <c r="G129" s="14">
        <f t="shared" si="8"/>
        <v>4.5289855072463768E-2</v>
      </c>
      <c r="H129" s="11"/>
      <c r="I129" s="11"/>
      <c r="J129" s="11"/>
    </row>
    <row r="130" spans="1:10" x14ac:dyDescent="0.25">
      <c r="A130" s="11"/>
      <c r="B130" s="11"/>
      <c r="C130" s="11"/>
      <c r="D130" s="11"/>
      <c r="E130" s="11" t="s">
        <v>1614</v>
      </c>
      <c r="F130" s="11">
        <v>177</v>
      </c>
      <c r="G130" s="14">
        <f t="shared" si="8"/>
        <v>0.32065217391304346</v>
      </c>
      <c r="H130" s="11"/>
      <c r="I130" s="11"/>
      <c r="J130" s="11"/>
    </row>
    <row r="131" spans="1:10" x14ac:dyDescent="0.25">
      <c r="A131" s="11"/>
      <c r="B131" s="11"/>
      <c r="C131" s="11"/>
      <c r="D131" s="11"/>
      <c r="E131" s="11" t="s">
        <v>69</v>
      </c>
      <c r="F131" s="11">
        <v>210</v>
      </c>
      <c r="G131" s="14">
        <f t="shared" si="8"/>
        <v>0.38043478260869568</v>
      </c>
      <c r="H131" s="11"/>
      <c r="I131" s="11"/>
      <c r="J131" s="11"/>
    </row>
    <row r="132" spans="1:10" x14ac:dyDescent="0.25">
      <c r="A132" s="11"/>
      <c r="B132" s="11"/>
      <c r="C132" s="11"/>
      <c r="D132" s="11"/>
      <c r="E132" s="11" t="s">
        <v>1581</v>
      </c>
      <c r="F132" s="11">
        <f>SUM(F122:F131)</f>
        <v>552</v>
      </c>
      <c r="G132" s="11"/>
      <c r="H132" s="11"/>
      <c r="I132" s="11"/>
      <c r="J132" s="11"/>
    </row>
    <row r="133" spans="1:10" x14ac:dyDescent="0.25">
      <c r="A133" s="106"/>
      <c r="B133" s="106"/>
      <c r="C133" s="106"/>
      <c r="D133" s="11"/>
      <c r="E133" s="11"/>
      <c r="F133" s="11"/>
      <c r="G133" s="11"/>
      <c r="H133" s="11"/>
      <c r="I133" s="11"/>
      <c r="J133" s="11"/>
    </row>
    <row r="134" spans="1:10" ht="13" x14ac:dyDescent="0.3">
      <c r="A134" s="88" t="s">
        <v>1628</v>
      </c>
      <c r="B134" s="88"/>
      <c r="C134" s="88"/>
      <c r="D134" s="88"/>
      <c r="E134" s="88"/>
      <c r="F134" s="88"/>
      <c r="G134" s="88"/>
      <c r="H134" s="88"/>
      <c r="I134" s="88"/>
      <c r="J134" s="88"/>
    </row>
    <row r="135" spans="1:10" x14ac:dyDescent="0.25">
      <c r="A135" s="89" t="s">
        <v>1651</v>
      </c>
      <c r="B135" s="90"/>
      <c r="C135" s="90"/>
      <c r="D135" s="90"/>
      <c r="E135" s="90"/>
      <c r="F135" s="90"/>
      <c r="G135" s="90"/>
      <c r="H135" s="90"/>
      <c r="I135" s="90"/>
      <c r="J135" s="91"/>
    </row>
    <row r="136" spans="1:10" x14ac:dyDescent="0.25">
      <c r="A136" s="92"/>
      <c r="B136" s="93"/>
      <c r="C136" s="93"/>
      <c r="D136" s="93"/>
      <c r="E136" s="93"/>
      <c r="F136" s="93"/>
      <c r="G136" s="93"/>
      <c r="H136" s="93"/>
      <c r="I136" s="93"/>
      <c r="J136" s="94"/>
    </row>
    <row r="137" spans="1:10" x14ac:dyDescent="0.25">
      <c r="A137" s="67" t="s">
        <v>1652</v>
      </c>
      <c r="B137" s="101"/>
      <c r="C137" s="101"/>
      <c r="D137" s="101"/>
      <c r="E137" s="101"/>
      <c r="F137" s="101"/>
      <c r="G137" s="101"/>
      <c r="H137" s="101"/>
      <c r="I137" s="101"/>
      <c r="J137" s="102"/>
    </row>
    <row r="138" spans="1:10" x14ac:dyDescent="0.25">
      <c r="A138" s="103"/>
      <c r="B138" s="104"/>
      <c r="C138" s="104"/>
      <c r="D138" s="104"/>
      <c r="E138" s="104"/>
      <c r="F138" s="104"/>
      <c r="G138" s="104"/>
      <c r="H138" s="104"/>
      <c r="I138" s="104"/>
      <c r="J138" s="105"/>
    </row>
    <row r="139" spans="1:10" x14ac:dyDescent="0.25">
      <c r="A139" s="67" t="s">
        <v>1653</v>
      </c>
      <c r="B139" s="95"/>
      <c r="C139" s="95"/>
      <c r="D139" s="95"/>
      <c r="E139" s="95"/>
      <c r="F139" s="95"/>
      <c r="G139" s="95"/>
      <c r="H139" s="95"/>
      <c r="I139" s="95"/>
      <c r="J139" s="96"/>
    </row>
    <row r="140" spans="1:10" x14ac:dyDescent="0.25">
      <c r="A140" s="97"/>
      <c r="B140" s="98"/>
      <c r="C140" s="98"/>
      <c r="D140" s="98"/>
      <c r="E140" s="98"/>
      <c r="F140" s="98"/>
      <c r="G140" s="98"/>
      <c r="H140" s="98"/>
      <c r="I140" s="98"/>
      <c r="J140" s="99"/>
    </row>
  </sheetData>
  <sortState xmlns:xlrd2="http://schemas.microsoft.com/office/spreadsheetml/2017/richdata2" ref="A104:C107">
    <sortCondition ref="C104:C107"/>
  </sortState>
  <mergeCells count="31">
    <mergeCell ref="A134:J134"/>
    <mergeCell ref="A135:J136"/>
    <mergeCell ref="A139:J140"/>
    <mergeCell ref="A47:J47"/>
    <mergeCell ref="A48:J49"/>
    <mergeCell ref="A137:J138"/>
    <mergeCell ref="A133:C133"/>
    <mergeCell ref="A114:J114"/>
    <mergeCell ref="A115:J116"/>
    <mergeCell ref="A118:J119"/>
    <mergeCell ref="A89:J90"/>
    <mergeCell ref="D94:I96"/>
    <mergeCell ref="D93:I93"/>
    <mergeCell ref="A66:J67"/>
    <mergeCell ref="A68:J69"/>
    <mergeCell ref="A71:J72"/>
    <mergeCell ref="A1:J3"/>
    <mergeCell ref="A4:J5"/>
    <mergeCell ref="A23:J24"/>
    <mergeCell ref="A22:J22"/>
    <mergeCell ref="A9:C9"/>
    <mergeCell ref="A26:J26"/>
    <mergeCell ref="A51:J52"/>
    <mergeCell ref="A65:J65"/>
    <mergeCell ref="A27:C27"/>
    <mergeCell ref="E27:G27"/>
    <mergeCell ref="A83:J83"/>
    <mergeCell ref="A84:J85"/>
    <mergeCell ref="A86:J87"/>
    <mergeCell ref="A37:C37"/>
    <mergeCell ref="E37:G37"/>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C0D01-F3B4-490F-A265-7A06828264E6}">
  <dimension ref="A1:J60"/>
  <sheetViews>
    <sheetView workbookViewId="0">
      <selection sqref="A1:J3"/>
    </sheetView>
  </sheetViews>
  <sheetFormatPr defaultColWidth="0" defaultRowHeight="12.5" zeroHeight="1" x14ac:dyDescent="0.25"/>
  <cols>
    <col min="1" max="10" width="8.7265625" customWidth="1"/>
    <col min="11" max="16384" width="8.7265625" hidden="1"/>
  </cols>
  <sheetData>
    <row r="1" spans="1:10" x14ac:dyDescent="0.25">
      <c r="A1" s="59" t="s">
        <v>1654</v>
      </c>
      <c r="B1" s="59"/>
      <c r="C1" s="59"/>
      <c r="D1" s="59"/>
      <c r="E1" s="59"/>
      <c r="F1" s="59"/>
      <c r="G1" s="59"/>
      <c r="H1" s="59"/>
      <c r="I1" s="59"/>
      <c r="J1" s="59"/>
    </row>
    <row r="2" spans="1:10" x14ac:dyDescent="0.25">
      <c r="A2" s="59"/>
      <c r="B2" s="59"/>
      <c r="C2" s="59"/>
      <c r="D2" s="59"/>
      <c r="E2" s="59"/>
      <c r="F2" s="59"/>
      <c r="G2" s="59"/>
      <c r="H2" s="59"/>
      <c r="I2" s="59"/>
      <c r="J2" s="59"/>
    </row>
    <row r="3" spans="1:10" x14ac:dyDescent="0.25">
      <c r="A3" s="59"/>
      <c r="B3" s="59"/>
      <c r="C3" s="59"/>
      <c r="D3" s="59"/>
      <c r="E3" s="59"/>
      <c r="F3" s="59"/>
      <c r="G3" s="59"/>
      <c r="H3" s="59"/>
      <c r="I3" s="59"/>
      <c r="J3" s="59"/>
    </row>
    <row r="4" spans="1:10" x14ac:dyDescent="0.25">
      <c r="A4" s="11"/>
      <c r="B4" s="11"/>
      <c r="C4" s="11"/>
      <c r="D4" s="11"/>
      <c r="E4" s="11"/>
      <c r="F4" s="11"/>
      <c r="G4" s="11"/>
      <c r="H4" s="11"/>
      <c r="I4" s="11"/>
      <c r="J4" s="11"/>
    </row>
    <row r="5" spans="1:10" x14ac:dyDescent="0.25">
      <c r="A5" s="11"/>
      <c r="B5" s="11"/>
      <c r="C5" s="11"/>
      <c r="D5" s="11"/>
      <c r="E5" s="11"/>
      <c r="F5" s="11"/>
      <c r="G5" s="11"/>
      <c r="H5" s="11"/>
      <c r="I5" s="11"/>
      <c r="J5" s="11"/>
    </row>
    <row r="6" spans="1:10" x14ac:dyDescent="0.25">
      <c r="A6" s="11"/>
      <c r="B6" s="11"/>
      <c r="C6" s="11"/>
      <c r="D6" s="11"/>
      <c r="E6" s="11"/>
      <c r="F6" s="11"/>
      <c r="G6" s="11"/>
      <c r="H6" s="11"/>
      <c r="I6" s="11"/>
      <c r="J6" s="11"/>
    </row>
    <row r="7" spans="1:10" x14ac:dyDescent="0.25">
      <c r="A7" s="11"/>
      <c r="B7" s="11"/>
      <c r="C7" s="11"/>
      <c r="D7" s="11"/>
      <c r="E7" s="11"/>
      <c r="F7" s="11"/>
      <c r="G7" s="11"/>
      <c r="H7" s="11"/>
      <c r="I7" s="11"/>
      <c r="J7" s="11"/>
    </row>
    <row r="8" spans="1:10" x14ac:dyDescent="0.25">
      <c r="A8" s="11"/>
      <c r="B8" s="11"/>
      <c r="C8" s="11"/>
      <c r="D8" s="11"/>
      <c r="E8" s="11"/>
      <c r="F8" s="11"/>
      <c r="G8" s="11"/>
      <c r="H8" s="11"/>
      <c r="I8" s="11"/>
      <c r="J8" s="11"/>
    </row>
    <row r="9" spans="1:10" x14ac:dyDescent="0.25">
      <c r="A9" s="11"/>
      <c r="B9" s="11"/>
      <c r="C9" s="11"/>
      <c r="D9" s="11"/>
      <c r="E9" s="11"/>
      <c r="F9" s="11"/>
      <c r="G9" s="11"/>
      <c r="H9" s="11"/>
      <c r="I9" s="11"/>
      <c r="J9" s="11"/>
    </row>
    <row r="10" spans="1:10" x14ac:dyDescent="0.25">
      <c r="A10" s="11"/>
      <c r="B10" s="11"/>
      <c r="C10" s="11"/>
      <c r="D10" s="11"/>
      <c r="E10" s="11"/>
      <c r="F10" s="11"/>
      <c r="G10" s="11"/>
      <c r="H10" s="11"/>
      <c r="I10" s="11"/>
      <c r="J10" s="11"/>
    </row>
    <row r="11" spans="1:10" x14ac:dyDescent="0.25">
      <c r="A11" s="11"/>
      <c r="B11" s="11"/>
      <c r="C11" s="11"/>
      <c r="D11" s="11"/>
      <c r="E11" s="11"/>
      <c r="F11" s="11"/>
      <c r="G11" s="11"/>
      <c r="H11" s="11"/>
      <c r="I11" s="11"/>
      <c r="J11" s="11"/>
    </row>
    <row r="12" spans="1:10" x14ac:dyDescent="0.25">
      <c r="A12" s="11"/>
      <c r="B12" s="11"/>
      <c r="C12" s="11"/>
      <c r="D12" s="11"/>
      <c r="E12" s="11"/>
      <c r="F12" s="11"/>
      <c r="G12" s="11"/>
      <c r="H12" s="11"/>
      <c r="I12" s="11"/>
      <c r="J12" s="11"/>
    </row>
    <row r="13" spans="1:10" x14ac:dyDescent="0.25">
      <c r="A13" s="11"/>
      <c r="B13" s="11"/>
      <c r="C13" s="11"/>
      <c r="D13" s="11"/>
      <c r="E13" s="11"/>
      <c r="F13" s="11"/>
      <c r="G13" s="11"/>
      <c r="H13" s="11"/>
      <c r="I13" s="11"/>
      <c r="J13" s="11"/>
    </row>
    <row r="14" spans="1:10" x14ac:dyDescent="0.25">
      <c r="A14" s="11"/>
      <c r="B14" s="11"/>
      <c r="C14" s="11"/>
      <c r="D14" s="11"/>
      <c r="E14" s="11"/>
      <c r="F14" s="11"/>
      <c r="G14" s="11"/>
      <c r="H14" s="11"/>
      <c r="I14" s="11"/>
      <c r="J14" s="11"/>
    </row>
    <row r="15" spans="1:10" x14ac:dyDescent="0.25">
      <c r="A15" s="11"/>
      <c r="B15" s="11"/>
      <c r="C15" s="11"/>
      <c r="D15" s="11"/>
      <c r="E15" s="11"/>
      <c r="F15" s="11"/>
      <c r="G15" s="11"/>
      <c r="H15" s="11"/>
      <c r="I15" s="11"/>
      <c r="J15" s="11"/>
    </row>
    <row r="16" spans="1:10" x14ac:dyDescent="0.25">
      <c r="A16" s="11"/>
      <c r="B16" s="11"/>
      <c r="C16" s="11"/>
      <c r="D16" s="11"/>
      <c r="E16" s="11"/>
      <c r="F16" s="11"/>
      <c r="G16" s="11"/>
      <c r="H16" s="11"/>
      <c r="I16" s="11"/>
      <c r="J16" s="11"/>
    </row>
    <row r="17" spans="1:10" x14ac:dyDescent="0.25">
      <c r="A17" s="11"/>
      <c r="B17" s="11"/>
      <c r="C17" s="11"/>
      <c r="D17" s="11"/>
      <c r="E17" s="11"/>
      <c r="F17" s="11"/>
      <c r="G17" s="11"/>
      <c r="H17" s="11"/>
      <c r="I17" s="11"/>
      <c r="J17" s="11"/>
    </row>
    <row r="18" spans="1:10" x14ac:dyDescent="0.25">
      <c r="A18" s="11"/>
      <c r="B18" s="11"/>
      <c r="C18" s="11"/>
      <c r="D18" s="11"/>
      <c r="E18" s="11"/>
      <c r="F18" s="11"/>
      <c r="G18" s="11"/>
      <c r="H18" s="11"/>
      <c r="I18" s="11"/>
      <c r="J18" s="11"/>
    </row>
    <row r="19" spans="1:10" x14ac:dyDescent="0.25">
      <c r="A19" s="11"/>
      <c r="B19" s="11"/>
      <c r="C19" s="11"/>
      <c r="D19" s="11"/>
      <c r="E19" s="11"/>
      <c r="F19" s="11"/>
      <c r="G19" s="11"/>
      <c r="H19" s="11"/>
      <c r="I19" s="11"/>
      <c r="J19" s="11"/>
    </row>
    <row r="20" spans="1:10" x14ac:dyDescent="0.25">
      <c r="A20" s="11"/>
      <c r="B20" s="11"/>
      <c r="C20" s="11"/>
      <c r="D20" s="11"/>
      <c r="E20" s="11"/>
      <c r="F20" s="11"/>
      <c r="G20" s="11"/>
      <c r="H20" s="11"/>
      <c r="I20" s="11"/>
      <c r="J20" s="11"/>
    </row>
    <row r="21" spans="1:10" x14ac:dyDescent="0.25">
      <c r="A21" s="11"/>
      <c r="B21" s="11"/>
      <c r="C21" s="11"/>
      <c r="D21" s="11"/>
      <c r="E21" s="11"/>
      <c r="F21" s="11"/>
      <c r="G21" s="11"/>
      <c r="H21" s="11"/>
      <c r="I21" s="11"/>
      <c r="J21" s="11"/>
    </row>
    <row r="22" spans="1:10" x14ac:dyDescent="0.25">
      <c r="A22" s="11"/>
      <c r="B22" s="11"/>
      <c r="C22" s="11"/>
      <c r="D22" s="11"/>
      <c r="E22" s="11"/>
      <c r="F22" s="11"/>
      <c r="G22" s="11"/>
      <c r="H22" s="11"/>
      <c r="I22" s="11"/>
      <c r="J22" s="11"/>
    </row>
    <row r="23" spans="1:10" x14ac:dyDescent="0.25">
      <c r="A23" s="11"/>
      <c r="B23" s="11"/>
      <c r="C23" s="11"/>
      <c r="D23" s="11"/>
      <c r="E23" s="11"/>
      <c r="F23" s="11"/>
      <c r="G23" s="11"/>
      <c r="H23" s="11"/>
      <c r="I23" s="11"/>
      <c r="J23" s="11"/>
    </row>
    <row r="24" spans="1:10" x14ac:dyDescent="0.25">
      <c r="A24" s="11"/>
      <c r="B24" s="11"/>
      <c r="C24" s="11"/>
      <c r="D24" s="11"/>
      <c r="E24" s="11"/>
      <c r="F24" s="11"/>
      <c r="G24" s="11"/>
      <c r="H24" s="11"/>
      <c r="I24" s="11"/>
      <c r="J24" s="11"/>
    </row>
    <row r="25" spans="1:10" ht="13" customHeight="1" x14ac:dyDescent="0.25">
      <c r="A25" s="122" t="s">
        <v>1655</v>
      </c>
      <c r="B25" s="122"/>
      <c r="C25" s="122"/>
      <c r="D25" s="122"/>
      <c r="E25" s="122"/>
      <c r="F25" s="122"/>
      <c r="G25" s="122"/>
      <c r="H25" s="122"/>
      <c r="I25" s="122"/>
      <c r="J25" s="122"/>
    </row>
    <row r="26" spans="1:10" x14ac:dyDescent="0.25">
      <c r="A26" s="122"/>
      <c r="B26" s="122"/>
      <c r="C26" s="122"/>
      <c r="D26" s="122"/>
      <c r="E26" s="122"/>
      <c r="F26" s="122"/>
      <c r="G26" s="122"/>
      <c r="H26" s="122"/>
      <c r="I26" s="122"/>
      <c r="J26" s="122"/>
    </row>
    <row r="27" spans="1:10" x14ac:dyDescent="0.25">
      <c r="A27" s="11"/>
      <c r="B27" s="11"/>
      <c r="C27" s="11"/>
      <c r="D27" s="11"/>
      <c r="E27" s="11"/>
      <c r="F27" s="11"/>
      <c r="G27" s="11"/>
      <c r="H27" s="11"/>
      <c r="I27" s="11"/>
      <c r="J27" s="11"/>
    </row>
    <row r="28" spans="1:10" x14ac:dyDescent="0.25">
      <c r="A28" s="11"/>
      <c r="B28" s="11"/>
      <c r="C28" s="11"/>
      <c r="D28" s="11"/>
      <c r="E28" s="11"/>
      <c r="F28" s="11"/>
      <c r="G28" s="11"/>
      <c r="H28" s="11"/>
      <c r="I28" s="11"/>
      <c r="J28" s="11"/>
    </row>
    <row r="29" spans="1:10" x14ac:dyDescent="0.25">
      <c r="A29" s="11"/>
      <c r="B29" s="11"/>
      <c r="C29" s="11"/>
      <c r="D29" s="11"/>
      <c r="E29" s="11"/>
      <c r="F29" s="11"/>
      <c r="G29" s="11"/>
      <c r="H29" s="11"/>
      <c r="I29" s="11"/>
      <c r="J29" s="11"/>
    </row>
    <row r="30" spans="1:10" x14ac:dyDescent="0.25">
      <c r="A30" s="11"/>
      <c r="B30" s="11"/>
      <c r="C30" s="11"/>
      <c r="D30" s="11"/>
      <c r="E30" s="11"/>
      <c r="F30" s="11"/>
      <c r="G30" s="11"/>
      <c r="H30" s="11"/>
      <c r="I30" s="11"/>
      <c r="J30" s="11"/>
    </row>
    <row r="31" spans="1:10" x14ac:dyDescent="0.25">
      <c r="A31" s="11"/>
      <c r="B31" s="11"/>
      <c r="C31" s="11"/>
      <c r="D31" s="11"/>
      <c r="E31" s="11"/>
      <c r="F31" s="11"/>
      <c r="G31" s="11"/>
      <c r="H31" s="11"/>
      <c r="I31" s="11"/>
      <c r="J31" s="11"/>
    </row>
    <row r="32" spans="1:10" x14ac:dyDescent="0.25">
      <c r="A32" s="11"/>
      <c r="B32" s="11"/>
      <c r="C32" s="11"/>
      <c r="D32" s="11"/>
      <c r="E32" s="11"/>
      <c r="F32" s="11"/>
      <c r="G32" s="11"/>
      <c r="H32" s="11"/>
      <c r="I32" s="11"/>
      <c r="J32" s="11"/>
    </row>
    <row r="33" spans="1:10" x14ac:dyDescent="0.25">
      <c r="A33" s="11"/>
      <c r="B33" s="11"/>
      <c r="C33" s="11"/>
      <c r="D33" s="11"/>
      <c r="E33" s="11"/>
      <c r="F33" s="11"/>
      <c r="G33" s="11"/>
      <c r="H33" s="11"/>
      <c r="I33" s="11"/>
      <c r="J33" s="11"/>
    </row>
    <row r="34" spans="1:10" x14ac:dyDescent="0.25">
      <c r="A34" s="11"/>
      <c r="B34" s="11"/>
      <c r="C34" s="11"/>
      <c r="D34" s="11"/>
      <c r="E34" s="11"/>
      <c r="F34" s="11"/>
      <c r="G34" s="11"/>
      <c r="H34" s="11"/>
      <c r="I34" s="11"/>
      <c r="J34" s="11"/>
    </row>
    <row r="35" spans="1:10" x14ac:dyDescent="0.25">
      <c r="A35" s="11"/>
      <c r="B35" s="11"/>
      <c r="C35" s="11"/>
      <c r="D35" s="11"/>
      <c r="E35" s="11"/>
      <c r="F35" s="11"/>
      <c r="G35" s="11"/>
      <c r="H35" s="11"/>
      <c r="I35" s="11"/>
      <c r="J35" s="11"/>
    </row>
    <row r="36" spans="1:10" x14ac:dyDescent="0.25">
      <c r="A36" s="11"/>
      <c r="B36" s="11"/>
      <c r="C36" s="11"/>
      <c r="D36" s="11"/>
      <c r="E36" s="11"/>
      <c r="F36" s="11"/>
      <c r="G36" s="11"/>
      <c r="H36" s="11"/>
      <c r="I36" s="11"/>
      <c r="J36" s="11"/>
    </row>
    <row r="37" spans="1:10" x14ac:dyDescent="0.25">
      <c r="A37" s="11"/>
      <c r="B37" s="11"/>
      <c r="C37" s="11"/>
      <c r="D37" s="11"/>
      <c r="E37" s="11"/>
      <c r="F37" s="11"/>
      <c r="G37" s="11"/>
      <c r="H37" s="11"/>
      <c r="I37" s="11"/>
      <c r="J37" s="11"/>
    </row>
    <row r="38" spans="1:10" x14ac:dyDescent="0.25">
      <c r="A38" s="11"/>
      <c r="B38" s="11"/>
      <c r="C38" s="11"/>
      <c r="D38" s="11"/>
      <c r="E38" s="11"/>
      <c r="F38" s="11"/>
      <c r="G38" s="11"/>
      <c r="H38" s="11"/>
      <c r="I38" s="11"/>
      <c r="J38" s="11"/>
    </row>
    <row r="39" spans="1:10" x14ac:dyDescent="0.25">
      <c r="A39" s="11"/>
      <c r="B39" s="11"/>
      <c r="C39" s="11"/>
      <c r="D39" s="11"/>
      <c r="E39" s="11"/>
      <c r="F39" s="11"/>
      <c r="G39" s="11"/>
      <c r="H39" s="11"/>
      <c r="I39" s="11"/>
      <c r="J39" s="11"/>
    </row>
    <row r="40" spans="1:10" x14ac:dyDescent="0.25">
      <c r="A40" s="11"/>
      <c r="B40" s="11"/>
      <c r="C40" s="11"/>
      <c r="D40" s="11"/>
      <c r="E40" s="11"/>
      <c r="F40" s="11"/>
      <c r="G40" s="11"/>
      <c r="H40" s="11"/>
      <c r="I40" s="11"/>
      <c r="J40" s="11"/>
    </row>
    <row r="41" spans="1:10" x14ac:dyDescent="0.25">
      <c r="A41" s="11"/>
      <c r="B41" s="11"/>
      <c r="C41" s="11"/>
      <c r="D41" s="11"/>
      <c r="E41" s="11"/>
      <c r="F41" s="11"/>
      <c r="G41" s="11"/>
      <c r="H41" s="11"/>
      <c r="I41" s="11"/>
      <c r="J41" s="11"/>
    </row>
    <row r="42" spans="1:10" x14ac:dyDescent="0.25">
      <c r="A42" s="11"/>
      <c r="B42" s="11"/>
      <c r="C42" s="11"/>
      <c r="D42" s="11"/>
      <c r="E42" s="11"/>
      <c r="F42" s="11"/>
      <c r="G42" s="11"/>
      <c r="H42" s="11"/>
      <c r="I42" s="11"/>
      <c r="J42" s="11"/>
    </row>
    <row r="43" spans="1:10" x14ac:dyDescent="0.25">
      <c r="A43" s="11"/>
      <c r="B43" s="11"/>
      <c r="C43" s="11"/>
      <c r="D43" s="11"/>
      <c r="E43" s="11"/>
      <c r="F43" s="11"/>
      <c r="G43" s="11"/>
      <c r="H43" s="11"/>
      <c r="I43" s="11"/>
      <c r="J43" s="11"/>
    </row>
    <row r="44" spans="1:10" x14ac:dyDescent="0.25">
      <c r="A44" s="11"/>
      <c r="B44" s="11"/>
      <c r="C44" s="11"/>
      <c r="D44" s="11"/>
      <c r="E44" s="11"/>
      <c r="F44" s="11"/>
      <c r="G44" s="11"/>
      <c r="H44" s="11"/>
      <c r="I44" s="11"/>
      <c r="J44" s="11"/>
    </row>
    <row r="45" spans="1:10" x14ac:dyDescent="0.25">
      <c r="A45" s="11"/>
      <c r="B45" s="11"/>
      <c r="C45" s="11"/>
      <c r="D45" s="11"/>
      <c r="E45" s="11"/>
      <c r="F45" s="11"/>
      <c r="G45" s="11"/>
      <c r="H45" s="11"/>
      <c r="I45" s="11"/>
      <c r="J45" s="11"/>
    </row>
    <row r="46" spans="1:10" x14ac:dyDescent="0.25">
      <c r="A46" s="11"/>
      <c r="B46" s="11"/>
      <c r="C46" s="11"/>
      <c r="D46" s="11"/>
      <c r="E46" s="11"/>
      <c r="F46" s="11"/>
      <c r="G46" s="11"/>
      <c r="H46" s="11"/>
      <c r="I46" s="11"/>
      <c r="J46" s="11"/>
    </row>
    <row r="47" spans="1:10" x14ac:dyDescent="0.25">
      <c r="A47" s="11"/>
      <c r="B47" s="11"/>
      <c r="C47" s="11"/>
      <c r="D47" s="11"/>
      <c r="E47" s="11"/>
      <c r="F47" s="11"/>
      <c r="G47" s="11"/>
      <c r="H47" s="11"/>
      <c r="I47" s="11"/>
      <c r="J47" s="11"/>
    </row>
    <row r="48" spans="1:10" x14ac:dyDescent="0.25">
      <c r="A48" s="11"/>
      <c r="B48" s="11"/>
      <c r="C48" s="11"/>
      <c r="D48" s="11"/>
      <c r="E48" s="11"/>
      <c r="F48" s="11"/>
      <c r="G48" s="11"/>
      <c r="H48" s="11"/>
      <c r="I48" s="11"/>
      <c r="J48" s="11"/>
    </row>
    <row r="49" spans="1:10" x14ac:dyDescent="0.25">
      <c r="A49" s="11"/>
      <c r="B49" s="11"/>
      <c r="C49" s="11"/>
      <c r="D49" s="11"/>
      <c r="E49" s="11"/>
      <c r="F49" s="11"/>
      <c r="G49" s="11"/>
      <c r="H49" s="11"/>
      <c r="I49" s="11"/>
      <c r="J49" s="11"/>
    </row>
    <row r="50" spans="1:10" x14ac:dyDescent="0.25">
      <c r="A50" s="11"/>
      <c r="B50" s="11"/>
      <c r="C50" s="11"/>
      <c r="D50" s="11"/>
      <c r="E50" s="11"/>
      <c r="F50" s="11"/>
      <c r="G50" s="11"/>
      <c r="H50" s="11"/>
      <c r="I50" s="11"/>
      <c r="J50" s="11"/>
    </row>
    <row r="51" spans="1:10" x14ac:dyDescent="0.25">
      <c r="A51" s="11"/>
      <c r="B51" s="11"/>
      <c r="C51" s="11"/>
      <c r="D51" s="11"/>
      <c r="E51" s="11"/>
      <c r="F51" s="11"/>
      <c r="G51" s="11"/>
      <c r="H51" s="11"/>
      <c r="I51" s="11"/>
      <c r="J51" s="11"/>
    </row>
    <row r="52" spans="1:10" x14ac:dyDescent="0.25">
      <c r="A52" s="11"/>
      <c r="B52" s="11"/>
      <c r="C52" s="11"/>
      <c r="D52" s="11"/>
      <c r="E52" s="11"/>
      <c r="F52" s="11"/>
      <c r="G52" s="11"/>
      <c r="H52" s="11"/>
      <c r="I52" s="11"/>
      <c r="J52" s="11"/>
    </row>
    <row r="53" spans="1:10" x14ac:dyDescent="0.25">
      <c r="A53" s="11"/>
      <c r="B53" s="11"/>
      <c r="C53" s="11"/>
      <c r="D53" s="11"/>
      <c r="E53" s="11"/>
      <c r="F53" s="11"/>
      <c r="G53" s="11"/>
      <c r="H53" s="11"/>
      <c r="I53" s="11"/>
      <c r="J53" s="11"/>
    </row>
    <row r="54" spans="1:10" x14ac:dyDescent="0.25">
      <c r="A54" s="11"/>
      <c r="B54" s="11"/>
      <c r="C54" s="11"/>
      <c r="D54" s="11"/>
      <c r="E54" s="11"/>
      <c r="F54" s="11"/>
      <c r="G54" s="11"/>
      <c r="H54" s="11"/>
      <c r="I54" s="11"/>
      <c r="J54" s="11"/>
    </row>
    <row r="55" spans="1:10" x14ac:dyDescent="0.25">
      <c r="A55" s="11"/>
      <c r="B55" s="11"/>
      <c r="C55" s="11"/>
      <c r="D55" s="11"/>
      <c r="E55" s="11"/>
      <c r="F55" s="11"/>
      <c r="G55" s="11"/>
      <c r="H55" s="11"/>
      <c r="I55" s="11"/>
      <c r="J55" s="11"/>
    </row>
    <row r="56" spans="1:10" x14ac:dyDescent="0.25">
      <c r="A56" s="11"/>
      <c r="B56" s="11"/>
      <c r="C56" s="11"/>
      <c r="D56" s="11"/>
      <c r="E56" s="11"/>
      <c r="F56" s="11"/>
      <c r="G56" s="11"/>
      <c r="H56" s="11"/>
      <c r="I56" s="11"/>
      <c r="J56" s="11"/>
    </row>
    <row r="57" spans="1:10" x14ac:dyDescent="0.25">
      <c r="A57" s="11"/>
      <c r="B57" s="11"/>
      <c r="C57" s="11"/>
      <c r="D57" s="11"/>
      <c r="E57" s="11"/>
      <c r="F57" s="11"/>
      <c r="G57" s="11"/>
      <c r="H57" s="11"/>
      <c r="I57" s="11"/>
      <c r="J57" s="11"/>
    </row>
    <row r="58" spans="1:10" x14ac:dyDescent="0.25">
      <c r="A58" s="11"/>
      <c r="B58" s="11"/>
      <c r="C58" s="11"/>
      <c r="D58" s="11"/>
      <c r="E58" s="11"/>
      <c r="F58" s="11"/>
      <c r="G58" s="11"/>
      <c r="H58" s="11"/>
      <c r="I58" s="11"/>
      <c r="J58" s="11"/>
    </row>
    <row r="59" spans="1:10" x14ac:dyDescent="0.25">
      <c r="A59" s="11"/>
      <c r="B59" s="11"/>
      <c r="C59" s="11"/>
      <c r="D59" s="11"/>
      <c r="E59" s="11"/>
      <c r="F59" s="11"/>
      <c r="G59" s="11"/>
      <c r="H59" s="11"/>
      <c r="I59" s="11"/>
      <c r="J59" s="11"/>
    </row>
    <row r="60" spans="1:10" x14ac:dyDescent="0.25">
      <c r="A60" s="11"/>
      <c r="B60" s="11"/>
      <c r="C60" s="11"/>
      <c r="D60" s="11"/>
      <c r="E60" s="11"/>
      <c r="F60" s="11"/>
      <c r="G60" s="11"/>
      <c r="H60" s="11"/>
      <c r="I60" s="11"/>
      <c r="J60" s="11"/>
    </row>
  </sheetData>
  <mergeCells count="2">
    <mergeCell ref="A1:J3"/>
    <mergeCell ref="A25:J26"/>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605"/>
  <sheetViews>
    <sheetView zoomScale="85" zoomScaleNormal="85" workbookViewId="0">
      <selection sqref="A1:AI3"/>
    </sheetView>
  </sheetViews>
  <sheetFormatPr defaultColWidth="12.6328125" defaultRowHeight="15.75" customHeight="1" x14ac:dyDescent="0.25"/>
  <cols>
    <col min="1" max="1" width="12.81640625" customWidth="1"/>
    <col min="2" max="2" width="25.54296875" bestFit="1" customWidth="1"/>
    <col min="3" max="3" width="32.54296875" bestFit="1" customWidth="1"/>
    <col min="4" max="4" width="13.26953125" customWidth="1"/>
    <col min="5" max="5" width="23.7265625" bestFit="1" customWidth="1"/>
    <col min="6" max="6" width="11.7265625" customWidth="1"/>
    <col min="8" max="8" width="11.90625" customWidth="1"/>
    <col min="9" max="9" width="9.54296875" customWidth="1"/>
    <col min="10" max="10" width="16.81640625" customWidth="1"/>
    <col min="11" max="11" width="15.08984375" bestFit="1" customWidth="1"/>
    <col min="12" max="12" width="9.26953125" customWidth="1"/>
    <col min="13" max="13" width="15.81640625" bestFit="1" customWidth="1"/>
    <col min="14" max="14" width="15.7265625" customWidth="1"/>
    <col min="15" max="15" width="13.54296875" customWidth="1"/>
    <col min="16" max="16" width="16.90625" customWidth="1"/>
    <col min="17" max="17" width="17.453125" customWidth="1"/>
    <col min="18" max="18" width="19.26953125" customWidth="1"/>
    <col min="19" max="19" width="15.26953125" customWidth="1"/>
    <col min="20" max="20" width="14.90625" customWidth="1"/>
    <col min="21" max="21" width="15.26953125" customWidth="1"/>
    <col min="22" max="22" width="14.90625" customWidth="1"/>
    <col min="24" max="24" width="10.26953125" customWidth="1"/>
    <col min="25" max="25" width="19.26953125" customWidth="1"/>
    <col min="26" max="26" width="14.6328125" customWidth="1"/>
    <col min="27" max="27" width="15" customWidth="1"/>
    <col min="29" max="29" width="10.54296875" customWidth="1"/>
    <col min="31" max="31" width="11.08984375" customWidth="1"/>
    <col min="32" max="32" width="11.36328125" customWidth="1"/>
    <col min="33" max="33" width="19.36328125" bestFit="1" customWidth="1"/>
    <col min="34" max="34" width="19.26953125" customWidth="1"/>
    <col min="35" max="35" width="40.54296875" bestFit="1" customWidth="1"/>
  </cols>
  <sheetData>
    <row r="1" spans="1:35" ht="15.75" customHeight="1" x14ac:dyDescent="0.25">
      <c r="A1" s="123" t="s">
        <v>1654</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row>
    <row r="2" spans="1:35" ht="15.75" customHeight="1" x14ac:dyDescent="0.25">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row>
    <row r="3" spans="1:35" ht="15.75" customHeight="1" x14ac:dyDescent="0.25">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row>
    <row r="4" spans="1:35" ht="15.75" customHeight="1" x14ac:dyDescent="0.2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row>
    <row r="5" spans="1:35" ht="15.75" hidden="1" customHeight="1" x14ac:dyDescent="0.25">
      <c r="A5" s="1">
        <v>1</v>
      </c>
      <c r="B5" s="1" t="s">
        <v>35</v>
      </c>
      <c r="C5" s="1" t="s">
        <v>36</v>
      </c>
      <c r="D5" s="1" t="s">
        <v>37</v>
      </c>
      <c r="E5" s="1" t="s">
        <v>38</v>
      </c>
      <c r="F5" s="1" t="s">
        <v>39</v>
      </c>
      <c r="G5" s="1" t="s">
        <v>40</v>
      </c>
      <c r="H5" s="1" t="s">
        <v>41</v>
      </c>
      <c r="I5" s="1" t="s">
        <v>42</v>
      </c>
      <c r="J5" s="1">
        <v>5.6</v>
      </c>
      <c r="K5" s="1" t="s">
        <v>43</v>
      </c>
      <c r="L5" s="1" t="s">
        <v>44</v>
      </c>
      <c r="M5" s="1" t="s">
        <v>45</v>
      </c>
      <c r="N5" s="1" t="s">
        <v>46</v>
      </c>
      <c r="O5" s="2">
        <v>45718</v>
      </c>
      <c r="P5" s="2">
        <v>45722</v>
      </c>
      <c r="Q5" s="1" t="b">
        <v>1</v>
      </c>
      <c r="R5" s="1">
        <v>10</v>
      </c>
      <c r="S5" s="1" t="b">
        <v>1</v>
      </c>
      <c r="T5" s="2">
        <v>45729</v>
      </c>
      <c r="U5" s="1" t="b">
        <v>1</v>
      </c>
      <c r="V5" s="2">
        <v>45733</v>
      </c>
      <c r="W5" s="1" t="b">
        <v>1</v>
      </c>
      <c r="X5" s="2">
        <v>45739</v>
      </c>
      <c r="Y5" s="1">
        <v>83</v>
      </c>
      <c r="Z5" s="1">
        <v>66</v>
      </c>
      <c r="AA5" s="1">
        <v>75</v>
      </c>
      <c r="AB5" s="1" t="b">
        <v>0</v>
      </c>
      <c r="AD5" s="1" t="b">
        <v>0</v>
      </c>
      <c r="AF5" s="1" t="s">
        <v>47</v>
      </c>
      <c r="AH5" s="1">
        <v>21</v>
      </c>
      <c r="AI5" s="1" t="s">
        <v>48</v>
      </c>
    </row>
    <row r="6" spans="1:35" ht="15.75" hidden="1" customHeight="1" x14ac:dyDescent="0.25">
      <c r="A6" s="1">
        <v>2</v>
      </c>
      <c r="B6" s="1" t="s">
        <v>49</v>
      </c>
      <c r="C6" s="1" t="s">
        <v>50</v>
      </c>
      <c r="D6" s="1" t="s">
        <v>51</v>
      </c>
      <c r="E6" s="1" t="s">
        <v>52</v>
      </c>
      <c r="F6" s="1" t="s">
        <v>39</v>
      </c>
      <c r="G6" s="1" t="s">
        <v>40</v>
      </c>
      <c r="H6" s="1" t="s">
        <v>41</v>
      </c>
      <c r="I6" s="1" t="s">
        <v>53</v>
      </c>
      <c r="J6" s="1">
        <v>3.6</v>
      </c>
      <c r="K6" s="1" t="s">
        <v>54</v>
      </c>
      <c r="L6" s="1" t="s">
        <v>55</v>
      </c>
      <c r="M6" s="1" t="s">
        <v>56</v>
      </c>
      <c r="N6" s="1" t="s">
        <v>46</v>
      </c>
      <c r="O6" s="2">
        <v>45801</v>
      </c>
      <c r="P6" s="2">
        <v>45806</v>
      </c>
      <c r="Q6" s="1" t="b">
        <v>1</v>
      </c>
      <c r="R6" s="1">
        <v>1</v>
      </c>
      <c r="S6" s="1" t="b">
        <v>0</v>
      </c>
      <c r="U6" s="1" t="b">
        <v>0</v>
      </c>
      <c r="W6" s="1" t="b">
        <v>0</v>
      </c>
      <c r="Y6" s="1">
        <v>62</v>
      </c>
      <c r="Z6" s="1">
        <v>89</v>
      </c>
      <c r="AA6" s="1">
        <v>75</v>
      </c>
      <c r="AB6" s="1" t="b">
        <v>0</v>
      </c>
      <c r="AD6" s="1" t="b">
        <v>0</v>
      </c>
      <c r="AF6" s="1" t="s">
        <v>57</v>
      </c>
      <c r="AH6" s="1">
        <v>5</v>
      </c>
      <c r="AI6" s="1" t="s">
        <v>58</v>
      </c>
    </row>
    <row r="7" spans="1:35" ht="15.75" customHeight="1" x14ac:dyDescent="0.25">
      <c r="A7" s="1">
        <v>3</v>
      </c>
      <c r="B7" s="1" t="s">
        <v>59</v>
      </c>
      <c r="C7" s="1" t="s">
        <v>60</v>
      </c>
      <c r="D7" s="1" t="s">
        <v>61</v>
      </c>
      <c r="E7" s="1" t="s">
        <v>62</v>
      </c>
      <c r="F7" s="1" t="s">
        <v>63</v>
      </c>
      <c r="G7" s="1" t="s">
        <v>64</v>
      </c>
      <c r="H7" s="1" t="s">
        <v>65</v>
      </c>
      <c r="I7" s="1" t="s">
        <v>53</v>
      </c>
      <c r="J7" s="1">
        <v>3.4</v>
      </c>
      <c r="K7" s="1" t="s">
        <v>66</v>
      </c>
      <c r="L7" s="1" t="s">
        <v>67</v>
      </c>
      <c r="M7" s="1" t="s">
        <v>68</v>
      </c>
      <c r="N7" s="1" t="s">
        <v>46</v>
      </c>
      <c r="O7" s="2">
        <v>45761</v>
      </c>
      <c r="P7" s="2">
        <v>45765</v>
      </c>
      <c r="Q7" s="1" t="b">
        <v>1</v>
      </c>
      <c r="R7" s="1">
        <v>9</v>
      </c>
      <c r="S7" s="1" t="b">
        <v>1</v>
      </c>
      <c r="T7" s="2">
        <v>45766</v>
      </c>
      <c r="U7" s="1" t="b">
        <v>1</v>
      </c>
      <c r="V7" s="2">
        <v>45779</v>
      </c>
      <c r="W7" s="1" t="b">
        <v>1</v>
      </c>
      <c r="X7" s="2">
        <v>45785</v>
      </c>
      <c r="Y7" s="1">
        <v>73</v>
      </c>
      <c r="Z7" s="1">
        <v>55</v>
      </c>
      <c r="AA7" s="1">
        <v>48</v>
      </c>
      <c r="AB7" s="1" t="b">
        <v>0</v>
      </c>
      <c r="AD7" s="1" t="b">
        <v>0</v>
      </c>
      <c r="AF7" s="1" t="s">
        <v>47</v>
      </c>
      <c r="AG7" s="1" t="s">
        <v>69</v>
      </c>
      <c r="AH7" s="1">
        <v>24</v>
      </c>
      <c r="AI7" s="1" t="s">
        <v>70</v>
      </c>
    </row>
    <row r="8" spans="1:35" ht="15.75" customHeight="1" x14ac:dyDescent="0.25">
      <c r="A8" s="1">
        <v>4</v>
      </c>
      <c r="B8" s="1" t="s">
        <v>71</v>
      </c>
      <c r="C8" s="1" t="s">
        <v>72</v>
      </c>
      <c r="D8" s="1" t="s">
        <v>73</v>
      </c>
      <c r="E8" s="1" t="s">
        <v>62</v>
      </c>
      <c r="F8" s="1" t="s">
        <v>74</v>
      </c>
      <c r="G8" s="1" t="s">
        <v>75</v>
      </c>
      <c r="H8" s="1" t="s">
        <v>41</v>
      </c>
      <c r="I8" s="1" t="s">
        <v>42</v>
      </c>
      <c r="J8" s="1">
        <v>9.9</v>
      </c>
      <c r="K8" s="1" t="s">
        <v>76</v>
      </c>
      <c r="L8" s="1" t="s">
        <v>44</v>
      </c>
      <c r="M8" s="1" t="s">
        <v>68</v>
      </c>
      <c r="N8" s="1" t="s">
        <v>46</v>
      </c>
      <c r="O8" s="2">
        <v>45793</v>
      </c>
      <c r="P8" s="2">
        <v>45799</v>
      </c>
      <c r="Q8" s="1" t="b">
        <v>0</v>
      </c>
      <c r="S8" s="1" t="b">
        <v>0</v>
      </c>
      <c r="U8" s="1" t="b">
        <v>0</v>
      </c>
      <c r="W8" s="1" t="b">
        <v>0</v>
      </c>
      <c r="Y8" s="1">
        <v>91</v>
      </c>
      <c r="Z8" s="1">
        <v>91</v>
      </c>
      <c r="AA8" s="1">
        <v>84</v>
      </c>
      <c r="AB8" s="1" t="b">
        <v>0</v>
      </c>
      <c r="AD8" s="1" t="b">
        <v>0</v>
      </c>
      <c r="AF8" s="1" t="s">
        <v>77</v>
      </c>
      <c r="AG8" s="1" t="s">
        <v>69</v>
      </c>
      <c r="AH8" s="1">
        <v>6</v>
      </c>
      <c r="AI8" s="1" t="s">
        <v>78</v>
      </c>
    </row>
    <row r="9" spans="1:35" ht="15.75" customHeight="1" x14ac:dyDescent="0.25">
      <c r="A9" s="1">
        <v>5</v>
      </c>
      <c r="B9" s="1" t="s">
        <v>79</v>
      </c>
      <c r="C9" s="1" t="s">
        <v>80</v>
      </c>
      <c r="D9" s="1" t="s">
        <v>81</v>
      </c>
      <c r="E9" s="1" t="s">
        <v>38</v>
      </c>
      <c r="F9" s="1" t="s">
        <v>63</v>
      </c>
      <c r="G9" s="1" t="s">
        <v>75</v>
      </c>
      <c r="H9" s="1" t="s">
        <v>41</v>
      </c>
      <c r="I9" s="1" t="s">
        <v>82</v>
      </c>
      <c r="J9" s="1">
        <v>2.5</v>
      </c>
      <c r="K9" s="1" t="s">
        <v>83</v>
      </c>
      <c r="L9" s="1" t="s">
        <v>55</v>
      </c>
      <c r="M9" s="1" t="s">
        <v>68</v>
      </c>
      <c r="N9" s="1" t="s">
        <v>84</v>
      </c>
      <c r="O9" s="2">
        <v>45757</v>
      </c>
      <c r="P9" s="2">
        <v>45758</v>
      </c>
      <c r="Q9" s="1" t="b">
        <v>0</v>
      </c>
      <c r="S9" s="1" t="b">
        <v>0</v>
      </c>
      <c r="U9" s="1" t="b">
        <v>0</v>
      </c>
      <c r="W9" s="1" t="b">
        <v>0</v>
      </c>
      <c r="Y9" s="1">
        <v>89</v>
      </c>
      <c r="Z9" s="1">
        <v>81</v>
      </c>
      <c r="AA9" s="1">
        <v>84</v>
      </c>
      <c r="AB9" s="1" t="b">
        <v>0</v>
      </c>
      <c r="AD9" s="1" t="b">
        <v>0</v>
      </c>
      <c r="AF9" s="1" t="s">
        <v>77</v>
      </c>
      <c r="AG9" s="1" t="s">
        <v>69</v>
      </c>
      <c r="AH9" s="1">
        <v>1</v>
      </c>
      <c r="AI9" s="1" t="s">
        <v>58</v>
      </c>
    </row>
    <row r="10" spans="1:35" ht="15.75" customHeight="1" x14ac:dyDescent="0.25">
      <c r="A10" s="1">
        <v>6</v>
      </c>
      <c r="B10" s="1" t="s">
        <v>85</v>
      </c>
      <c r="C10" s="1" t="s">
        <v>86</v>
      </c>
      <c r="D10" s="1" t="s">
        <v>87</v>
      </c>
      <c r="E10" s="1" t="s">
        <v>62</v>
      </c>
      <c r="F10" s="1" t="s">
        <v>63</v>
      </c>
      <c r="G10" s="1" t="s">
        <v>40</v>
      </c>
      <c r="H10" s="1" t="s">
        <v>88</v>
      </c>
      <c r="I10" s="1" t="s">
        <v>42</v>
      </c>
      <c r="J10" s="1">
        <v>8.5</v>
      </c>
      <c r="K10" s="1" t="s">
        <v>89</v>
      </c>
      <c r="L10" s="1" t="s">
        <v>90</v>
      </c>
      <c r="M10" s="1" t="s">
        <v>91</v>
      </c>
      <c r="N10" s="1" t="s">
        <v>92</v>
      </c>
      <c r="O10" s="2">
        <v>45764</v>
      </c>
      <c r="P10" s="2">
        <v>45764</v>
      </c>
      <c r="Q10" s="1" t="b">
        <v>0</v>
      </c>
      <c r="S10" s="1" t="b">
        <v>0</v>
      </c>
      <c r="U10" s="1" t="b">
        <v>0</v>
      </c>
      <c r="W10" s="1" t="b">
        <v>0</v>
      </c>
      <c r="Y10" s="1">
        <v>81</v>
      </c>
      <c r="Z10" s="1">
        <v>88</v>
      </c>
      <c r="AA10" s="1">
        <v>91</v>
      </c>
      <c r="AB10" s="1" t="b">
        <v>0</v>
      </c>
      <c r="AD10" s="1" t="b">
        <v>0</v>
      </c>
      <c r="AF10" s="1" t="s">
        <v>77</v>
      </c>
      <c r="AG10" s="1" t="s">
        <v>69</v>
      </c>
      <c r="AH10" s="1">
        <v>0</v>
      </c>
      <c r="AI10" s="1" t="s">
        <v>93</v>
      </c>
    </row>
    <row r="11" spans="1:35" ht="15.75" hidden="1" customHeight="1" x14ac:dyDescent="0.25">
      <c r="A11" s="1">
        <v>7</v>
      </c>
      <c r="B11" s="1" t="s">
        <v>94</v>
      </c>
      <c r="C11" s="1" t="s">
        <v>95</v>
      </c>
      <c r="D11" s="1" t="s">
        <v>96</v>
      </c>
      <c r="E11" s="1" t="s">
        <v>38</v>
      </c>
      <c r="F11" s="1" t="s">
        <v>63</v>
      </c>
      <c r="G11" s="1" t="s">
        <v>97</v>
      </c>
      <c r="H11" s="1" t="s">
        <v>41</v>
      </c>
      <c r="I11" s="1" t="s">
        <v>53</v>
      </c>
      <c r="J11" s="1">
        <v>4.5</v>
      </c>
      <c r="K11" s="1" t="s">
        <v>98</v>
      </c>
      <c r="L11" s="1" t="s">
        <v>44</v>
      </c>
      <c r="M11" s="1" t="s">
        <v>68</v>
      </c>
      <c r="N11" s="1" t="s">
        <v>92</v>
      </c>
      <c r="O11" s="2">
        <v>45685</v>
      </c>
      <c r="P11" s="2">
        <v>45686</v>
      </c>
      <c r="Q11" s="1" t="b">
        <v>1</v>
      </c>
      <c r="R11" s="1">
        <v>10</v>
      </c>
      <c r="S11" s="1" t="b">
        <v>1</v>
      </c>
      <c r="T11" s="2">
        <v>45693</v>
      </c>
      <c r="U11" s="1" t="b">
        <v>1</v>
      </c>
      <c r="V11" s="2">
        <v>45698</v>
      </c>
      <c r="W11" s="1" t="b">
        <v>1</v>
      </c>
      <c r="X11" s="2">
        <v>45705</v>
      </c>
      <c r="Y11" s="1">
        <v>69</v>
      </c>
      <c r="Z11" s="1">
        <v>65</v>
      </c>
      <c r="AA11" s="1">
        <v>73</v>
      </c>
      <c r="AB11" s="1" t="b">
        <v>0</v>
      </c>
      <c r="AD11" s="1" t="b">
        <v>0</v>
      </c>
      <c r="AF11" s="1" t="s">
        <v>47</v>
      </c>
      <c r="AH11" s="1">
        <v>20</v>
      </c>
      <c r="AI11" s="1" t="s">
        <v>93</v>
      </c>
    </row>
    <row r="12" spans="1:35" ht="15.75" hidden="1" customHeight="1" x14ac:dyDescent="0.25">
      <c r="A12" s="1">
        <v>8</v>
      </c>
      <c r="B12" s="1" t="s">
        <v>99</v>
      </c>
      <c r="C12" s="1" t="s">
        <v>100</v>
      </c>
      <c r="D12" s="1" t="s">
        <v>101</v>
      </c>
      <c r="E12" s="1" t="s">
        <v>102</v>
      </c>
      <c r="F12" s="1" t="s">
        <v>39</v>
      </c>
      <c r="G12" s="1" t="s">
        <v>64</v>
      </c>
      <c r="H12" s="1" t="s">
        <v>65</v>
      </c>
      <c r="I12" s="1" t="s">
        <v>103</v>
      </c>
      <c r="J12" s="1">
        <v>9.1999999999999993</v>
      </c>
      <c r="K12" s="1" t="s">
        <v>104</v>
      </c>
      <c r="L12" s="1" t="s">
        <v>55</v>
      </c>
      <c r="M12" s="1" t="s">
        <v>45</v>
      </c>
      <c r="N12" s="1" t="s">
        <v>46</v>
      </c>
      <c r="O12" s="2">
        <v>45780</v>
      </c>
      <c r="P12" s="2">
        <v>45789</v>
      </c>
      <c r="Q12" s="1" t="b">
        <v>1</v>
      </c>
      <c r="R12" s="1">
        <v>6</v>
      </c>
      <c r="S12" s="1" t="b">
        <v>1</v>
      </c>
      <c r="T12" s="2">
        <v>45794</v>
      </c>
      <c r="U12" s="1" t="b">
        <v>1</v>
      </c>
      <c r="V12" s="2">
        <v>45797</v>
      </c>
      <c r="W12" s="1" t="b">
        <v>0</v>
      </c>
      <c r="Y12" s="1">
        <v>77</v>
      </c>
      <c r="Z12" s="1">
        <v>68</v>
      </c>
      <c r="AA12" s="1">
        <v>81</v>
      </c>
      <c r="AB12" s="1" t="b">
        <v>0</v>
      </c>
      <c r="AD12" s="1" t="b">
        <v>0</v>
      </c>
      <c r="AF12" s="1" t="s">
        <v>105</v>
      </c>
      <c r="AH12" s="1">
        <v>17</v>
      </c>
      <c r="AI12" s="1" t="s">
        <v>93</v>
      </c>
    </row>
    <row r="13" spans="1:35" ht="15.75" hidden="1" customHeight="1" x14ac:dyDescent="0.25">
      <c r="A13" s="1">
        <v>9</v>
      </c>
      <c r="B13" s="1" t="s">
        <v>106</v>
      </c>
      <c r="C13" s="1" t="s">
        <v>107</v>
      </c>
      <c r="D13" s="1" t="s">
        <v>108</v>
      </c>
      <c r="E13" s="1" t="s">
        <v>102</v>
      </c>
      <c r="F13" s="1" t="s">
        <v>63</v>
      </c>
      <c r="G13" s="1" t="s">
        <v>40</v>
      </c>
      <c r="H13" s="1" t="s">
        <v>65</v>
      </c>
      <c r="I13" s="1" t="s">
        <v>42</v>
      </c>
      <c r="J13" s="1">
        <v>5.4</v>
      </c>
      <c r="K13" s="1" t="s">
        <v>83</v>
      </c>
      <c r="L13" s="1" t="s">
        <v>90</v>
      </c>
      <c r="M13" s="1" t="s">
        <v>91</v>
      </c>
      <c r="N13" s="1" t="s">
        <v>46</v>
      </c>
      <c r="O13" s="2">
        <v>45672</v>
      </c>
      <c r="P13" s="2">
        <v>45672</v>
      </c>
      <c r="Q13" s="1" t="b">
        <v>1</v>
      </c>
      <c r="R13" s="1">
        <v>11</v>
      </c>
      <c r="S13" s="1" t="b">
        <v>0</v>
      </c>
      <c r="U13" s="1" t="b">
        <v>0</v>
      </c>
      <c r="W13" s="1" t="b">
        <v>0</v>
      </c>
      <c r="Y13" s="1">
        <v>94</v>
      </c>
      <c r="Z13" s="1">
        <v>87</v>
      </c>
      <c r="AA13" s="1">
        <v>100</v>
      </c>
      <c r="AB13" s="1" t="b">
        <v>0</v>
      </c>
      <c r="AD13" s="1" t="b">
        <v>0</v>
      </c>
      <c r="AF13" s="1" t="s">
        <v>57</v>
      </c>
      <c r="AH13" s="1">
        <v>0</v>
      </c>
      <c r="AI13" s="1" t="s">
        <v>48</v>
      </c>
    </row>
    <row r="14" spans="1:35" ht="15.75" hidden="1" customHeight="1" x14ac:dyDescent="0.25">
      <c r="A14" s="1">
        <v>10</v>
      </c>
      <c r="B14" s="1" t="s">
        <v>109</v>
      </c>
      <c r="C14" s="1" t="s">
        <v>110</v>
      </c>
      <c r="D14" s="1" t="s">
        <v>108</v>
      </c>
      <c r="E14" s="1" t="s">
        <v>62</v>
      </c>
      <c r="F14" s="1" t="s">
        <v>111</v>
      </c>
      <c r="G14" s="1" t="s">
        <v>112</v>
      </c>
      <c r="H14" s="1" t="s">
        <v>65</v>
      </c>
      <c r="I14" s="1" t="s">
        <v>53</v>
      </c>
      <c r="J14" s="1">
        <v>6.4</v>
      </c>
      <c r="K14" s="1" t="s">
        <v>113</v>
      </c>
      <c r="L14" s="1" t="s">
        <v>114</v>
      </c>
      <c r="M14" s="1" t="s">
        <v>115</v>
      </c>
      <c r="N14" s="1" t="s">
        <v>116</v>
      </c>
      <c r="O14" s="2">
        <v>45659</v>
      </c>
      <c r="P14" s="2">
        <v>45665</v>
      </c>
      <c r="Q14" s="1" t="b">
        <v>1</v>
      </c>
      <c r="R14" s="1">
        <v>6</v>
      </c>
      <c r="S14" s="1" t="b">
        <v>0</v>
      </c>
      <c r="U14" s="1" t="b">
        <v>0</v>
      </c>
      <c r="W14" s="1" t="b">
        <v>0</v>
      </c>
      <c r="Y14" s="1">
        <v>77</v>
      </c>
      <c r="Z14" s="1">
        <v>54</v>
      </c>
      <c r="AA14" s="1">
        <v>61</v>
      </c>
      <c r="AB14" s="1" t="b">
        <v>0</v>
      </c>
      <c r="AD14" s="1" t="b">
        <v>0</v>
      </c>
      <c r="AF14" s="1" t="s">
        <v>57</v>
      </c>
      <c r="AG14" s="1" t="s">
        <v>117</v>
      </c>
      <c r="AH14" s="1">
        <v>6</v>
      </c>
      <c r="AI14" s="1" t="s">
        <v>118</v>
      </c>
    </row>
    <row r="15" spans="1:35" ht="15.75" hidden="1" customHeight="1" x14ac:dyDescent="0.25">
      <c r="A15" s="1">
        <v>11</v>
      </c>
      <c r="B15" s="1" t="s">
        <v>119</v>
      </c>
      <c r="C15" s="1" t="s">
        <v>120</v>
      </c>
      <c r="D15" s="1" t="s">
        <v>121</v>
      </c>
      <c r="E15" s="1" t="s">
        <v>102</v>
      </c>
      <c r="F15" s="1" t="s">
        <v>111</v>
      </c>
      <c r="G15" s="1" t="s">
        <v>75</v>
      </c>
      <c r="H15" s="1" t="s">
        <v>41</v>
      </c>
      <c r="I15" s="1" t="s">
        <v>42</v>
      </c>
      <c r="J15" s="1">
        <v>8</v>
      </c>
      <c r="K15" s="1" t="s">
        <v>122</v>
      </c>
      <c r="L15" s="1" t="s">
        <v>90</v>
      </c>
      <c r="M15" s="1" t="s">
        <v>123</v>
      </c>
      <c r="N15" s="1" t="s">
        <v>116</v>
      </c>
      <c r="O15" s="2">
        <v>45669</v>
      </c>
      <c r="P15" s="2">
        <v>45672</v>
      </c>
      <c r="Q15" s="1" t="b">
        <v>1</v>
      </c>
      <c r="R15" s="1">
        <v>11</v>
      </c>
      <c r="S15" s="1" t="b">
        <v>1</v>
      </c>
      <c r="T15" s="2">
        <v>45680</v>
      </c>
      <c r="U15" s="1" t="b">
        <v>1</v>
      </c>
      <c r="V15" s="2">
        <v>45691</v>
      </c>
      <c r="W15" s="1" t="b">
        <v>1</v>
      </c>
      <c r="X15" s="2">
        <v>45698</v>
      </c>
      <c r="Y15" s="1">
        <v>61</v>
      </c>
      <c r="Z15" s="1">
        <v>78</v>
      </c>
      <c r="AA15" s="1">
        <v>71</v>
      </c>
      <c r="AB15" s="1" t="b">
        <v>0</v>
      </c>
      <c r="AD15" s="1" t="b">
        <v>0</v>
      </c>
      <c r="AF15" s="1" t="s">
        <v>47</v>
      </c>
      <c r="AG15" s="1" t="s">
        <v>124</v>
      </c>
      <c r="AH15" s="1">
        <v>29</v>
      </c>
      <c r="AI15" s="1" t="s">
        <v>78</v>
      </c>
    </row>
    <row r="16" spans="1:35" ht="15.75" customHeight="1" x14ac:dyDescent="0.25">
      <c r="A16" s="1">
        <v>12</v>
      </c>
      <c r="B16" s="1" t="s">
        <v>125</v>
      </c>
      <c r="C16" s="1" t="s">
        <v>126</v>
      </c>
      <c r="D16" s="1" t="s">
        <v>127</v>
      </c>
      <c r="E16" s="1" t="s">
        <v>52</v>
      </c>
      <c r="F16" s="1" t="s">
        <v>63</v>
      </c>
      <c r="G16" s="1" t="s">
        <v>40</v>
      </c>
      <c r="H16" s="1" t="s">
        <v>65</v>
      </c>
      <c r="I16" s="1" t="s">
        <v>42</v>
      </c>
      <c r="J16" s="1">
        <v>6.2</v>
      </c>
      <c r="K16" s="1" t="s">
        <v>128</v>
      </c>
      <c r="L16" s="1" t="s">
        <v>114</v>
      </c>
      <c r="M16" s="1" t="s">
        <v>129</v>
      </c>
      <c r="N16" s="1" t="s">
        <v>84</v>
      </c>
      <c r="O16" s="2">
        <v>45736</v>
      </c>
      <c r="P16" s="2">
        <v>45736</v>
      </c>
      <c r="Q16" s="1" t="b">
        <v>0</v>
      </c>
      <c r="S16" s="1" t="b">
        <v>0</v>
      </c>
      <c r="U16" s="1" t="b">
        <v>0</v>
      </c>
      <c r="W16" s="1" t="b">
        <v>0</v>
      </c>
      <c r="Y16" s="1">
        <v>67</v>
      </c>
      <c r="Z16" s="1">
        <v>66</v>
      </c>
      <c r="AA16" s="1">
        <v>70</v>
      </c>
      <c r="AB16" s="1" t="b">
        <v>0</v>
      </c>
      <c r="AD16" s="1" t="b">
        <v>0</v>
      </c>
      <c r="AF16" s="1" t="s">
        <v>77</v>
      </c>
      <c r="AG16" s="1" t="s">
        <v>69</v>
      </c>
      <c r="AH16" s="1">
        <v>0</v>
      </c>
      <c r="AI16" s="1" t="s">
        <v>48</v>
      </c>
    </row>
    <row r="17" spans="1:35" ht="15.75" hidden="1" customHeight="1" x14ac:dyDescent="0.25">
      <c r="A17" s="1">
        <v>13</v>
      </c>
      <c r="B17" s="1" t="s">
        <v>130</v>
      </c>
      <c r="C17" s="1" t="s">
        <v>131</v>
      </c>
      <c r="D17" s="1" t="s">
        <v>132</v>
      </c>
      <c r="E17" s="1" t="s">
        <v>38</v>
      </c>
      <c r="F17" s="1" t="s">
        <v>39</v>
      </c>
      <c r="G17" s="1" t="s">
        <v>64</v>
      </c>
      <c r="H17" s="1" t="s">
        <v>88</v>
      </c>
      <c r="I17" s="1" t="s">
        <v>42</v>
      </c>
      <c r="J17" s="1">
        <v>8.6999999999999993</v>
      </c>
      <c r="K17" s="1" t="s">
        <v>133</v>
      </c>
      <c r="L17" s="1" t="s">
        <v>44</v>
      </c>
      <c r="M17" s="1" t="s">
        <v>45</v>
      </c>
      <c r="N17" s="1" t="s">
        <v>92</v>
      </c>
      <c r="O17" s="2">
        <v>45784</v>
      </c>
      <c r="P17" s="2">
        <v>45787</v>
      </c>
      <c r="Q17" s="1" t="b">
        <v>1</v>
      </c>
      <c r="R17" s="1">
        <v>1</v>
      </c>
      <c r="S17" s="1" t="b">
        <v>1</v>
      </c>
      <c r="T17" s="2">
        <v>45794</v>
      </c>
      <c r="U17" s="1" t="b">
        <v>1</v>
      </c>
      <c r="V17" s="2">
        <v>45808</v>
      </c>
      <c r="W17" s="1" t="b">
        <v>1</v>
      </c>
      <c r="X17" s="2">
        <v>45810</v>
      </c>
      <c r="Y17" s="1">
        <v>76</v>
      </c>
      <c r="Z17" s="1">
        <v>78</v>
      </c>
      <c r="AA17" s="1">
        <v>74</v>
      </c>
      <c r="AB17" s="1" t="b">
        <v>1</v>
      </c>
      <c r="AC17" s="2">
        <v>45816</v>
      </c>
      <c r="AD17" s="1" t="b">
        <v>1</v>
      </c>
      <c r="AE17" s="2">
        <v>45824</v>
      </c>
      <c r="AF17" s="1" t="s">
        <v>134</v>
      </c>
      <c r="AH17" s="1">
        <v>40</v>
      </c>
      <c r="AI17" s="1" t="s">
        <v>135</v>
      </c>
    </row>
    <row r="18" spans="1:35" ht="15.75" customHeight="1" x14ac:dyDescent="0.25">
      <c r="A18" s="1">
        <v>14</v>
      </c>
      <c r="B18" s="1" t="s">
        <v>136</v>
      </c>
      <c r="C18" s="1" t="s">
        <v>137</v>
      </c>
      <c r="D18" s="1" t="s">
        <v>138</v>
      </c>
      <c r="E18" s="1" t="s">
        <v>52</v>
      </c>
      <c r="F18" s="1" t="s">
        <v>39</v>
      </c>
      <c r="G18" s="1" t="s">
        <v>139</v>
      </c>
      <c r="H18" s="1" t="s">
        <v>65</v>
      </c>
      <c r="I18" s="1" t="s">
        <v>53</v>
      </c>
      <c r="J18" s="1">
        <v>6</v>
      </c>
      <c r="K18" s="1" t="s">
        <v>140</v>
      </c>
      <c r="L18" s="1" t="s">
        <v>141</v>
      </c>
      <c r="M18" s="1" t="s">
        <v>68</v>
      </c>
      <c r="N18" s="1" t="s">
        <v>46</v>
      </c>
      <c r="O18" s="2">
        <v>45724</v>
      </c>
      <c r="P18" s="2">
        <v>45729</v>
      </c>
      <c r="Q18" s="1" t="b">
        <v>0</v>
      </c>
      <c r="S18" s="1" t="b">
        <v>0</v>
      </c>
      <c r="U18" s="1" t="b">
        <v>0</v>
      </c>
      <c r="W18" s="1" t="b">
        <v>0</v>
      </c>
      <c r="Y18" s="1">
        <v>77</v>
      </c>
      <c r="Z18" s="1">
        <v>54</v>
      </c>
      <c r="AA18" s="1">
        <v>70</v>
      </c>
      <c r="AB18" s="1" t="b">
        <v>0</v>
      </c>
      <c r="AD18" s="1" t="b">
        <v>0</v>
      </c>
      <c r="AF18" s="1" t="s">
        <v>77</v>
      </c>
      <c r="AG18" s="1" t="s">
        <v>69</v>
      </c>
      <c r="AH18" s="1">
        <v>5</v>
      </c>
      <c r="AI18" s="1" t="s">
        <v>78</v>
      </c>
    </row>
    <row r="19" spans="1:35" ht="15.75" customHeight="1" x14ac:dyDescent="0.25">
      <c r="A19" s="1">
        <v>15</v>
      </c>
      <c r="B19" s="1" t="s">
        <v>142</v>
      </c>
      <c r="C19" s="1" t="s">
        <v>143</v>
      </c>
      <c r="D19" s="1" t="s">
        <v>144</v>
      </c>
      <c r="E19" s="1" t="s">
        <v>52</v>
      </c>
      <c r="F19" s="1" t="s">
        <v>111</v>
      </c>
      <c r="G19" s="1" t="s">
        <v>64</v>
      </c>
      <c r="H19" s="1" t="s">
        <v>65</v>
      </c>
      <c r="I19" s="1" t="s">
        <v>42</v>
      </c>
      <c r="J19" s="1">
        <v>7</v>
      </c>
      <c r="K19" s="1" t="s">
        <v>145</v>
      </c>
      <c r="L19" s="1" t="s">
        <v>67</v>
      </c>
      <c r="M19" s="1" t="s">
        <v>146</v>
      </c>
      <c r="N19" s="1" t="s">
        <v>92</v>
      </c>
      <c r="O19" s="2">
        <v>45772</v>
      </c>
      <c r="P19" s="2">
        <v>45775</v>
      </c>
      <c r="Q19" s="1" t="b">
        <v>0</v>
      </c>
      <c r="S19" s="1" t="b">
        <v>0</v>
      </c>
      <c r="U19" s="1" t="b">
        <v>0</v>
      </c>
      <c r="W19" s="1" t="b">
        <v>0</v>
      </c>
      <c r="Y19" s="1">
        <v>78</v>
      </c>
      <c r="Z19" s="1">
        <v>79</v>
      </c>
      <c r="AA19" s="1">
        <v>72</v>
      </c>
      <c r="AB19" s="1" t="b">
        <v>0</v>
      </c>
      <c r="AD19" s="1" t="b">
        <v>0</v>
      </c>
      <c r="AF19" s="1" t="s">
        <v>77</v>
      </c>
      <c r="AG19" s="1" t="s">
        <v>69</v>
      </c>
      <c r="AH19" s="1">
        <v>3</v>
      </c>
      <c r="AI19" s="1" t="s">
        <v>58</v>
      </c>
    </row>
    <row r="20" spans="1:35" ht="15.75" hidden="1" customHeight="1" x14ac:dyDescent="0.25">
      <c r="A20" s="1">
        <v>16</v>
      </c>
      <c r="B20" s="1" t="s">
        <v>147</v>
      </c>
      <c r="C20" s="1" t="s">
        <v>148</v>
      </c>
      <c r="D20" s="1" t="s">
        <v>149</v>
      </c>
      <c r="E20" s="1" t="s">
        <v>102</v>
      </c>
      <c r="F20" s="1" t="s">
        <v>74</v>
      </c>
      <c r="G20" s="1" t="s">
        <v>75</v>
      </c>
      <c r="H20" s="1" t="s">
        <v>65</v>
      </c>
      <c r="I20" s="1" t="s">
        <v>82</v>
      </c>
      <c r="J20" s="1">
        <v>1.2</v>
      </c>
      <c r="K20" s="1" t="s">
        <v>150</v>
      </c>
      <c r="L20" s="1" t="s">
        <v>90</v>
      </c>
      <c r="M20" s="1" t="s">
        <v>91</v>
      </c>
      <c r="N20" s="1" t="s">
        <v>46</v>
      </c>
      <c r="O20" s="2">
        <v>45788</v>
      </c>
      <c r="P20" s="2">
        <v>45788</v>
      </c>
      <c r="Q20" s="1" t="b">
        <v>1</v>
      </c>
      <c r="R20" s="1">
        <v>9</v>
      </c>
      <c r="S20" s="1" t="b">
        <v>1</v>
      </c>
      <c r="T20" s="2">
        <v>45790</v>
      </c>
      <c r="U20" s="1" t="b">
        <v>0</v>
      </c>
      <c r="W20" s="1" t="b">
        <v>0</v>
      </c>
      <c r="Y20" s="1">
        <v>66</v>
      </c>
      <c r="Z20" s="1">
        <v>56</v>
      </c>
      <c r="AA20" s="1">
        <v>61</v>
      </c>
      <c r="AB20" s="1" t="b">
        <v>0</v>
      </c>
      <c r="AD20" s="1" t="b">
        <v>0</v>
      </c>
      <c r="AF20" s="1" t="s">
        <v>151</v>
      </c>
      <c r="AG20" s="1" t="s">
        <v>152</v>
      </c>
      <c r="AH20" s="1">
        <v>2</v>
      </c>
      <c r="AI20" s="1" t="s">
        <v>118</v>
      </c>
    </row>
    <row r="21" spans="1:35" ht="15.75" customHeight="1" x14ac:dyDescent="0.25">
      <c r="A21" s="1">
        <v>17</v>
      </c>
      <c r="B21" s="1" t="s">
        <v>153</v>
      </c>
      <c r="C21" s="1" t="s">
        <v>154</v>
      </c>
      <c r="D21" s="1" t="s">
        <v>155</v>
      </c>
      <c r="E21" s="1" t="s">
        <v>52</v>
      </c>
      <c r="F21" s="1" t="s">
        <v>74</v>
      </c>
      <c r="G21" s="1" t="s">
        <v>64</v>
      </c>
      <c r="H21" s="1" t="s">
        <v>41</v>
      </c>
      <c r="I21" s="1" t="s">
        <v>53</v>
      </c>
      <c r="J21" s="1">
        <v>2.7</v>
      </c>
      <c r="K21" s="1" t="s">
        <v>156</v>
      </c>
      <c r="L21" s="1" t="s">
        <v>114</v>
      </c>
      <c r="M21" s="1" t="s">
        <v>45</v>
      </c>
      <c r="N21" s="1" t="s">
        <v>84</v>
      </c>
      <c r="O21" s="2">
        <v>45807</v>
      </c>
      <c r="P21" s="2">
        <v>45810</v>
      </c>
      <c r="Q21" s="1" t="b">
        <v>0</v>
      </c>
      <c r="S21" s="1" t="b">
        <v>0</v>
      </c>
      <c r="U21" s="1" t="b">
        <v>0</v>
      </c>
      <c r="W21" s="1" t="b">
        <v>0</v>
      </c>
      <c r="Y21" s="1">
        <v>66</v>
      </c>
      <c r="Z21" s="1">
        <v>58</v>
      </c>
      <c r="AA21" s="1">
        <v>66</v>
      </c>
      <c r="AB21" s="1" t="b">
        <v>0</v>
      </c>
      <c r="AD21" s="1" t="b">
        <v>0</v>
      </c>
      <c r="AF21" s="1" t="s">
        <v>77</v>
      </c>
      <c r="AG21" s="1" t="s">
        <v>69</v>
      </c>
      <c r="AH21" s="1">
        <v>3</v>
      </c>
      <c r="AI21" s="1" t="s">
        <v>157</v>
      </c>
    </row>
    <row r="22" spans="1:35" ht="15.75" customHeight="1" x14ac:dyDescent="0.25">
      <c r="A22" s="1">
        <v>18</v>
      </c>
      <c r="B22" s="1" t="s">
        <v>158</v>
      </c>
      <c r="C22" s="1" t="s">
        <v>159</v>
      </c>
      <c r="D22" s="1" t="s">
        <v>160</v>
      </c>
      <c r="E22" s="1" t="s">
        <v>102</v>
      </c>
      <c r="F22" s="1" t="s">
        <v>111</v>
      </c>
      <c r="G22" s="1" t="s">
        <v>64</v>
      </c>
      <c r="H22" s="1" t="s">
        <v>65</v>
      </c>
      <c r="I22" s="1" t="s">
        <v>82</v>
      </c>
      <c r="J22" s="1">
        <v>0</v>
      </c>
      <c r="K22" s="1" t="s">
        <v>161</v>
      </c>
      <c r="L22" s="1" t="s">
        <v>67</v>
      </c>
      <c r="M22" s="1" t="s">
        <v>129</v>
      </c>
      <c r="N22" s="1" t="s">
        <v>116</v>
      </c>
      <c r="O22" s="2">
        <v>45680</v>
      </c>
      <c r="P22" s="2">
        <v>45680</v>
      </c>
      <c r="Q22" s="1" t="b">
        <v>1</v>
      </c>
      <c r="R22" s="1">
        <v>10</v>
      </c>
      <c r="S22" s="1" t="b">
        <v>1</v>
      </c>
      <c r="T22" s="2">
        <v>45682</v>
      </c>
      <c r="U22" s="1" t="b">
        <v>1</v>
      </c>
      <c r="V22" s="2">
        <v>45689</v>
      </c>
      <c r="W22" s="1" t="b">
        <v>1</v>
      </c>
      <c r="X22" s="2">
        <v>45692</v>
      </c>
      <c r="Y22" s="1">
        <v>66</v>
      </c>
      <c r="Z22" s="1">
        <v>60</v>
      </c>
      <c r="AA22" s="1">
        <v>65</v>
      </c>
      <c r="AB22" s="1" t="b">
        <v>0</v>
      </c>
      <c r="AD22" s="1" t="b">
        <v>0</v>
      </c>
      <c r="AF22" s="1" t="s">
        <v>47</v>
      </c>
      <c r="AG22" s="1" t="s">
        <v>69</v>
      </c>
      <c r="AH22" s="1">
        <v>12</v>
      </c>
      <c r="AI22" s="1" t="s">
        <v>58</v>
      </c>
    </row>
    <row r="23" spans="1:35" ht="15.75" hidden="1" customHeight="1" x14ac:dyDescent="0.25">
      <c r="A23" s="1">
        <v>19</v>
      </c>
      <c r="B23" s="1" t="s">
        <v>162</v>
      </c>
      <c r="C23" s="1" t="s">
        <v>163</v>
      </c>
      <c r="D23" s="1" t="s">
        <v>164</v>
      </c>
      <c r="E23" s="1" t="s">
        <v>102</v>
      </c>
      <c r="F23" s="1" t="s">
        <v>111</v>
      </c>
      <c r="G23" s="1" t="s">
        <v>64</v>
      </c>
      <c r="H23" s="1" t="s">
        <v>88</v>
      </c>
      <c r="I23" s="1" t="s">
        <v>103</v>
      </c>
      <c r="J23" s="1">
        <v>9.1999999999999993</v>
      </c>
      <c r="K23" s="1" t="s">
        <v>66</v>
      </c>
      <c r="L23" s="1" t="s">
        <v>90</v>
      </c>
      <c r="M23" s="1" t="s">
        <v>56</v>
      </c>
      <c r="N23" s="1" t="s">
        <v>116</v>
      </c>
      <c r="O23" s="2">
        <v>45665</v>
      </c>
      <c r="P23" s="2">
        <v>45672</v>
      </c>
      <c r="Q23" s="1" t="b">
        <v>1</v>
      </c>
      <c r="R23" s="1">
        <v>8</v>
      </c>
      <c r="S23" s="1" t="b">
        <v>1</v>
      </c>
      <c r="T23" s="2">
        <v>45679</v>
      </c>
      <c r="U23" s="1" t="b">
        <v>0</v>
      </c>
      <c r="W23" s="1" t="b">
        <v>0</v>
      </c>
      <c r="Y23" s="1">
        <v>80</v>
      </c>
      <c r="Z23" s="1">
        <v>77</v>
      </c>
      <c r="AA23" s="1">
        <v>91</v>
      </c>
      <c r="AB23" s="1" t="b">
        <v>0</v>
      </c>
      <c r="AD23" s="1" t="b">
        <v>0</v>
      </c>
      <c r="AF23" s="1" t="s">
        <v>151</v>
      </c>
      <c r="AH23" s="1">
        <v>14</v>
      </c>
      <c r="AI23" s="1" t="s">
        <v>165</v>
      </c>
    </row>
    <row r="24" spans="1:35" ht="15.75" hidden="1" customHeight="1" x14ac:dyDescent="0.25">
      <c r="A24" s="1">
        <v>20</v>
      </c>
      <c r="B24" s="1" t="s">
        <v>166</v>
      </c>
      <c r="C24" s="1" t="s">
        <v>167</v>
      </c>
      <c r="D24" s="1" t="s">
        <v>127</v>
      </c>
      <c r="E24" s="1" t="s">
        <v>102</v>
      </c>
      <c r="F24" s="1" t="s">
        <v>111</v>
      </c>
      <c r="G24" s="1" t="s">
        <v>40</v>
      </c>
      <c r="H24" s="1" t="s">
        <v>41</v>
      </c>
      <c r="I24" s="1" t="s">
        <v>103</v>
      </c>
      <c r="J24" s="1">
        <v>7.7</v>
      </c>
      <c r="K24" s="1" t="s">
        <v>168</v>
      </c>
      <c r="L24" s="1" t="s">
        <v>114</v>
      </c>
      <c r="M24" s="1" t="s">
        <v>129</v>
      </c>
      <c r="N24" s="1" t="s">
        <v>92</v>
      </c>
      <c r="O24" s="2">
        <v>45743</v>
      </c>
      <c r="P24" s="2">
        <v>45743</v>
      </c>
      <c r="Q24" s="1" t="b">
        <v>1</v>
      </c>
      <c r="R24" s="1">
        <v>6</v>
      </c>
      <c r="S24" s="1" t="b">
        <v>1</v>
      </c>
      <c r="T24" s="2">
        <v>45751</v>
      </c>
      <c r="U24" s="1" t="b">
        <v>1</v>
      </c>
      <c r="V24" s="2">
        <v>45757</v>
      </c>
      <c r="W24" s="1" t="b">
        <v>1</v>
      </c>
      <c r="X24" s="2">
        <v>45766</v>
      </c>
      <c r="Y24" s="1">
        <v>80</v>
      </c>
      <c r="Z24" s="1">
        <v>81</v>
      </c>
      <c r="AA24" s="1">
        <v>78</v>
      </c>
      <c r="AB24" s="1" t="b">
        <v>1</v>
      </c>
      <c r="AC24" s="2">
        <v>45770</v>
      </c>
      <c r="AD24" s="1" t="b">
        <v>1</v>
      </c>
      <c r="AE24" s="2">
        <v>45779</v>
      </c>
      <c r="AF24" s="1" t="s">
        <v>134</v>
      </c>
      <c r="AH24" s="1">
        <v>36</v>
      </c>
      <c r="AI24" s="1" t="s">
        <v>58</v>
      </c>
    </row>
    <row r="25" spans="1:35" ht="15.75" customHeight="1" x14ac:dyDescent="0.25">
      <c r="A25" s="1">
        <v>21</v>
      </c>
      <c r="B25" s="1" t="s">
        <v>169</v>
      </c>
      <c r="C25" s="1" t="s">
        <v>170</v>
      </c>
      <c r="D25" s="1" t="s">
        <v>171</v>
      </c>
      <c r="E25" s="1" t="s">
        <v>52</v>
      </c>
      <c r="F25" s="1" t="s">
        <v>63</v>
      </c>
      <c r="G25" s="1" t="s">
        <v>40</v>
      </c>
      <c r="H25" s="1" t="s">
        <v>88</v>
      </c>
      <c r="I25" s="1" t="s">
        <v>103</v>
      </c>
      <c r="J25" s="1">
        <v>11.2</v>
      </c>
      <c r="K25" s="1" t="s">
        <v>161</v>
      </c>
      <c r="L25" s="1" t="s">
        <v>141</v>
      </c>
      <c r="M25" s="1" t="s">
        <v>146</v>
      </c>
      <c r="N25" s="1" t="s">
        <v>92</v>
      </c>
      <c r="O25" s="2">
        <v>45801</v>
      </c>
      <c r="P25" s="2">
        <v>45804</v>
      </c>
      <c r="Q25" s="1" t="b">
        <v>0</v>
      </c>
      <c r="S25" s="1" t="b">
        <v>0</v>
      </c>
      <c r="U25" s="1" t="b">
        <v>0</v>
      </c>
      <c r="W25" s="1" t="b">
        <v>0</v>
      </c>
      <c r="Y25" s="1">
        <v>79</v>
      </c>
      <c r="Z25" s="1">
        <v>57</v>
      </c>
      <c r="AA25" s="1">
        <v>76</v>
      </c>
      <c r="AB25" s="1" t="b">
        <v>0</v>
      </c>
      <c r="AD25" s="1" t="b">
        <v>0</v>
      </c>
      <c r="AF25" s="1" t="s">
        <v>77</v>
      </c>
      <c r="AG25" s="1" t="s">
        <v>69</v>
      </c>
      <c r="AH25" s="1">
        <v>3</v>
      </c>
      <c r="AI25" s="1" t="s">
        <v>135</v>
      </c>
    </row>
    <row r="26" spans="1:35" ht="15.75" hidden="1" customHeight="1" x14ac:dyDescent="0.25">
      <c r="A26" s="1">
        <v>22</v>
      </c>
      <c r="B26" s="1" t="s">
        <v>172</v>
      </c>
      <c r="C26" s="1" t="s">
        <v>173</v>
      </c>
      <c r="D26" s="1" t="s">
        <v>174</v>
      </c>
      <c r="E26" s="1" t="s">
        <v>102</v>
      </c>
      <c r="F26" s="1" t="s">
        <v>111</v>
      </c>
      <c r="G26" s="1" t="s">
        <v>139</v>
      </c>
      <c r="H26" s="1" t="s">
        <v>88</v>
      </c>
      <c r="I26" s="1" t="s">
        <v>53</v>
      </c>
      <c r="J26" s="1">
        <v>6</v>
      </c>
      <c r="K26" s="1" t="s">
        <v>175</v>
      </c>
      <c r="L26" s="1" t="s">
        <v>55</v>
      </c>
      <c r="M26" s="1" t="s">
        <v>91</v>
      </c>
      <c r="N26" s="1" t="s">
        <v>46</v>
      </c>
      <c r="O26" s="2">
        <v>45745</v>
      </c>
      <c r="P26" s="2">
        <v>45747</v>
      </c>
      <c r="Q26" s="1" t="b">
        <v>1</v>
      </c>
      <c r="R26" s="1">
        <v>12</v>
      </c>
      <c r="S26" s="1" t="b">
        <v>1</v>
      </c>
      <c r="T26" s="2">
        <v>45754</v>
      </c>
      <c r="U26" s="1" t="b">
        <v>1</v>
      </c>
      <c r="V26" s="2">
        <v>45759</v>
      </c>
      <c r="W26" s="1" t="b">
        <v>1</v>
      </c>
      <c r="X26" s="2">
        <v>45766</v>
      </c>
      <c r="Y26" s="1">
        <v>78</v>
      </c>
      <c r="Z26" s="1">
        <v>64</v>
      </c>
      <c r="AA26" s="1">
        <v>57</v>
      </c>
      <c r="AB26" s="1" t="b">
        <v>0</v>
      </c>
      <c r="AD26" s="1" t="b">
        <v>0</v>
      </c>
      <c r="AF26" s="1" t="s">
        <v>47</v>
      </c>
      <c r="AG26" s="1" t="s">
        <v>176</v>
      </c>
      <c r="AH26" s="1">
        <v>21</v>
      </c>
      <c r="AI26" s="1" t="s">
        <v>157</v>
      </c>
    </row>
    <row r="27" spans="1:35" ht="15.75" hidden="1" customHeight="1" x14ac:dyDescent="0.25">
      <c r="A27" s="1">
        <v>23</v>
      </c>
      <c r="B27" s="1" t="s">
        <v>177</v>
      </c>
      <c r="C27" s="1" t="s">
        <v>178</v>
      </c>
      <c r="D27" s="1" t="s">
        <v>179</v>
      </c>
      <c r="E27" s="1" t="s">
        <v>102</v>
      </c>
      <c r="F27" s="1" t="s">
        <v>111</v>
      </c>
      <c r="G27" s="1" t="s">
        <v>40</v>
      </c>
      <c r="H27" s="1" t="s">
        <v>88</v>
      </c>
      <c r="I27" s="1" t="s">
        <v>42</v>
      </c>
      <c r="J27" s="1">
        <v>5.3</v>
      </c>
      <c r="K27" s="1" t="s">
        <v>83</v>
      </c>
      <c r="L27" s="1" t="s">
        <v>44</v>
      </c>
      <c r="M27" s="1" t="s">
        <v>146</v>
      </c>
      <c r="N27" s="1" t="s">
        <v>84</v>
      </c>
      <c r="O27" s="2">
        <v>45684</v>
      </c>
      <c r="P27" s="2">
        <v>45684</v>
      </c>
      <c r="Q27" s="1" t="b">
        <v>1</v>
      </c>
      <c r="R27" s="1">
        <v>12</v>
      </c>
      <c r="S27" s="1" t="b">
        <v>1</v>
      </c>
      <c r="T27" s="2">
        <v>45692</v>
      </c>
      <c r="U27" s="1" t="b">
        <v>1</v>
      </c>
      <c r="V27" s="2">
        <v>45706</v>
      </c>
      <c r="W27" s="1" t="b">
        <v>1</v>
      </c>
      <c r="X27" s="2">
        <v>45708</v>
      </c>
      <c r="Y27" s="1">
        <v>73</v>
      </c>
      <c r="Z27" s="1">
        <v>81</v>
      </c>
      <c r="AA27" s="1">
        <v>76</v>
      </c>
      <c r="AB27" s="1" t="b">
        <v>1</v>
      </c>
      <c r="AC27" s="2">
        <v>45714</v>
      </c>
      <c r="AD27" s="1" t="b">
        <v>1</v>
      </c>
      <c r="AE27" s="2">
        <v>45720</v>
      </c>
      <c r="AF27" s="1" t="s">
        <v>134</v>
      </c>
      <c r="AH27" s="1">
        <v>36</v>
      </c>
      <c r="AI27" s="1" t="s">
        <v>78</v>
      </c>
    </row>
    <row r="28" spans="1:35" ht="15.75" customHeight="1" x14ac:dyDescent="0.25">
      <c r="A28" s="1">
        <v>24</v>
      </c>
      <c r="B28" s="1" t="s">
        <v>180</v>
      </c>
      <c r="C28" s="1" t="s">
        <v>181</v>
      </c>
      <c r="D28" s="1" t="s">
        <v>51</v>
      </c>
      <c r="E28" s="1" t="s">
        <v>52</v>
      </c>
      <c r="F28" s="1" t="s">
        <v>74</v>
      </c>
      <c r="G28" s="1" t="s">
        <v>75</v>
      </c>
      <c r="H28" s="1" t="s">
        <v>41</v>
      </c>
      <c r="I28" s="1" t="s">
        <v>53</v>
      </c>
      <c r="J28" s="1">
        <v>5.3</v>
      </c>
      <c r="K28" s="1" t="s">
        <v>182</v>
      </c>
      <c r="L28" s="1" t="s">
        <v>114</v>
      </c>
      <c r="M28" s="1" t="s">
        <v>115</v>
      </c>
      <c r="N28" s="1" t="s">
        <v>92</v>
      </c>
      <c r="O28" s="2">
        <v>45711</v>
      </c>
      <c r="P28" s="2">
        <v>45714</v>
      </c>
      <c r="Q28" s="1" t="b">
        <v>0</v>
      </c>
      <c r="S28" s="1" t="b">
        <v>0</v>
      </c>
      <c r="U28" s="1" t="b">
        <v>0</v>
      </c>
      <c r="W28" s="1" t="b">
        <v>0</v>
      </c>
      <c r="Y28" s="1">
        <v>73</v>
      </c>
      <c r="Z28" s="1">
        <v>82</v>
      </c>
      <c r="AA28" s="1">
        <v>84</v>
      </c>
      <c r="AB28" s="1" t="b">
        <v>0</v>
      </c>
      <c r="AD28" s="1" t="b">
        <v>0</v>
      </c>
      <c r="AF28" s="1" t="s">
        <v>77</v>
      </c>
      <c r="AG28" s="1" t="s">
        <v>69</v>
      </c>
      <c r="AH28" s="1">
        <v>3</v>
      </c>
      <c r="AI28" s="1" t="s">
        <v>135</v>
      </c>
    </row>
    <row r="29" spans="1:35" ht="15.75" hidden="1" customHeight="1" x14ac:dyDescent="0.25">
      <c r="A29" s="1">
        <v>25</v>
      </c>
      <c r="B29" s="1" t="s">
        <v>183</v>
      </c>
      <c r="C29" s="1" t="s">
        <v>184</v>
      </c>
      <c r="D29" s="1" t="s">
        <v>160</v>
      </c>
      <c r="E29" s="1" t="s">
        <v>38</v>
      </c>
      <c r="F29" s="1" t="s">
        <v>111</v>
      </c>
      <c r="G29" s="1" t="s">
        <v>139</v>
      </c>
      <c r="H29" s="1" t="s">
        <v>41</v>
      </c>
      <c r="I29" s="1" t="s">
        <v>42</v>
      </c>
      <c r="J29" s="1">
        <v>7.6</v>
      </c>
      <c r="K29" s="1" t="s">
        <v>185</v>
      </c>
      <c r="L29" s="1" t="s">
        <v>67</v>
      </c>
      <c r="M29" s="1" t="s">
        <v>91</v>
      </c>
      <c r="N29" s="1" t="s">
        <v>92</v>
      </c>
      <c r="O29" s="2">
        <v>45726</v>
      </c>
      <c r="P29" s="2">
        <v>45728</v>
      </c>
      <c r="Q29" s="1" t="b">
        <v>1</v>
      </c>
      <c r="R29" s="1">
        <v>2</v>
      </c>
      <c r="S29" s="1" t="b">
        <v>0</v>
      </c>
      <c r="U29" s="1" t="b">
        <v>0</v>
      </c>
      <c r="W29" s="1" t="b">
        <v>0</v>
      </c>
      <c r="Y29" s="1">
        <v>83</v>
      </c>
      <c r="Z29" s="1">
        <v>98</v>
      </c>
      <c r="AA29" s="1">
        <v>94</v>
      </c>
      <c r="AB29" s="1" t="b">
        <v>0</v>
      </c>
      <c r="AD29" s="1" t="b">
        <v>0</v>
      </c>
      <c r="AF29" s="1" t="s">
        <v>57</v>
      </c>
      <c r="AG29" s="1" t="s">
        <v>176</v>
      </c>
      <c r="AH29" s="1">
        <v>2</v>
      </c>
      <c r="AI29" s="1" t="s">
        <v>93</v>
      </c>
    </row>
    <row r="30" spans="1:35" ht="15.75" customHeight="1" x14ac:dyDescent="0.25">
      <c r="A30" s="1">
        <v>26</v>
      </c>
      <c r="B30" s="1" t="s">
        <v>186</v>
      </c>
      <c r="C30" s="1" t="s">
        <v>187</v>
      </c>
      <c r="D30" s="1" t="s">
        <v>149</v>
      </c>
      <c r="E30" s="1" t="s">
        <v>62</v>
      </c>
      <c r="F30" s="1" t="s">
        <v>39</v>
      </c>
      <c r="G30" s="1" t="s">
        <v>64</v>
      </c>
      <c r="H30" s="1" t="s">
        <v>65</v>
      </c>
      <c r="I30" s="1" t="s">
        <v>82</v>
      </c>
      <c r="J30" s="1">
        <v>0.4</v>
      </c>
      <c r="K30" s="1" t="s">
        <v>188</v>
      </c>
      <c r="L30" s="1" t="s">
        <v>114</v>
      </c>
      <c r="M30" s="1" t="s">
        <v>123</v>
      </c>
      <c r="N30" s="1" t="s">
        <v>46</v>
      </c>
      <c r="O30" s="2">
        <v>45735</v>
      </c>
      <c r="P30" s="2">
        <v>45739</v>
      </c>
      <c r="Q30" s="1" t="b">
        <v>0</v>
      </c>
      <c r="S30" s="1" t="b">
        <v>0</v>
      </c>
      <c r="U30" s="1" t="b">
        <v>0</v>
      </c>
      <c r="W30" s="1" t="b">
        <v>0</v>
      </c>
      <c r="Y30" s="1">
        <v>63</v>
      </c>
      <c r="Z30" s="1">
        <v>72</v>
      </c>
      <c r="AA30" s="1">
        <v>76</v>
      </c>
      <c r="AB30" s="1" t="b">
        <v>0</v>
      </c>
      <c r="AD30" s="1" t="b">
        <v>0</v>
      </c>
      <c r="AF30" s="1" t="s">
        <v>77</v>
      </c>
      <c r="AG30" s="1" t="s">
        <v>69</v>
      </c>
      <c r="AH30" s="1">
        <v>4</v>
      </c>
      <c r="AI30" s="1" t="s">
        <v>58</v>
      </c>
    </row>
    <row r="31" spans="1:35" ht="15.75" customHeight="1" x14ac:dyDescent="0.25">
      <c r="A31" s="1">
        <v>27</v>
      </c>
      <c r="B31" s="1" t="s">
        <v>189</v>
      </c>
      <c r="C31" s="1" t="s">
        <v>190</v>
      </c>
      <c r="D31" s="1" t="s">
        <v>191</v>
      </c>
      <c r="E31" s="1" t="s">
        <v>102</v>
      </c>
      <c r="F31" s="1" t="s">
        <v>111</v>
      </c>
      <c r="G31" s="1" t="s">
        <v>64</v>
      </c>
      <c r="H31" s="1" t="s">
        <v>65</v>
      </c>
      <c r="I31" s="1" t="s">
        <v>82</v>
      </c>
      <c r="J31" s="1">
        <v>1.7</v>
      </c>
      <c r="K31" s="1" t="s">
        <v>192</v>
      </c>
      <c r="L31" s="1" t="s">
        <v>44</v>
      </c>
      <c r="M31" s="1" t="s">
        <v>115</v>
      </c>
      <c r="N31" s="1" t="s">
        <v>116</v>
      </c>
      <c r="O31" s="2">
        <v>45709</v>
      </c>
      <c r="P31" s="2">
        <v>45712</v>
      </c>
      <c r="Q31" s="1" t="b">
        <v>0</v>
      </c>
      <c r="S31" s="1" t="b">
        <v>0</v>
      </c>
      <c r="U31" s="1" t="b">
        <v>0</v>
      </c>
      <c r="W31" s="1" t="b">
        <v>0</v>
      </c>
      <c r="Y31" s="1">
        <v>66</v>
      </c>
      <c r="Z31" s="1">
        <v>68</v>
      </c>
      <c r="AA31" s="1">
        <v>63</v>
      </c>
      <c r="AB31" s="1" t="b">
        <v>0</v>
      </c>
      <c r="AD31" s="1" t="b">
        <v>0</v>
      </c>
      <c r="AF31" s="1" t="s">
        <v>77</v>
      </c>
      <c r="AG31" s="1" t="s">
        <v>69</v>
      </c>
      <c r="AH31" s="1">
        <v>3</v>
      </c>
      <c r="AI31" s="1" t="s">
        <v>48</v>
      </c>
    </row>
    <row r="32" spans="1:35" ht="15.75" customHeight="1" x14ac:dyDescent="0.25">
      <c r="A32" s="1">
        <v>28</v>
      </c>
      <c r="B32" s="1" t="s">
        <v>193</v>
      </c>
      <c r="C32" s="1" t="s">
        <v>194</v>
      </c>
      <c r="D32" s="1" t="s">
        <v>195</v>
      </c>
      <c r="E32" s="1" t="s">
        <v>52</v>
      </c>
      <c r="F32" s="1" t="s">
        <v>111</v>
      </c>
      <c r="G32" s="1" t="s">
        <v>40</v>
      </c>
      <c r="H32" s="1" t="s">
        <v>65</v>
      </c>
      <c r="I32" s="1" t="s">
        <v>42</v>
      </c>
      <c r="J32" s="1">
        <v>7.5</v>
      </c>
      <c r="K32" s="1" t="s">
        <v>196</v>
      </c>
      <c r="L32" s="1" t="s">
        <v>114</v>
      </c>
      <c r="M32" s="1" t="s">
        <v>123</v>
      </c>
      <c r="N32" s="1" t="s">
        <v>92</v>
      </c>
      <c r="O32" s="2">
        <v>45699</v>
      </c>
      <c r="P32" s="2">
        <v>45702</v>
      </c>
      <c r="Q32" s="1" t="b">
        <v>0</v>
      </c>
      <c r="S32" s="1" t="b">
        <v>0</v>
      </c>
      <c r="U32" s="1" t="b">
        <v>0</v>
      </c>
      <c r="W32" s="1" t="b">
        <v>0</v>
      </c>
      <c r="Y32" s="1">
        <v>75</v>
      </c>
      <c r="Z32" s="1">
        <v>66</v>
      </c>
      <c r="AA32" s="1">
        <v>70</v>
      </c>
      <c r="AB32" s="1" t="b">
        <v>0</v>
      </c>
      <c r="AD32" s="1" t="b">
        <v>0</v>
      </c>
      <c r="AF32" s="1" t="s">
        <v>77</v>
      </c>
      <c r="AG32" s="1" t="s">
        <v>69</v>
      </c>
      <c r="AH32" s="1">
        <v>3</v>
      </c>
      <c r="AI32" s="1" t="s">
        <v>70</v>
      </c>
    </row>
    <row r="33" spans="1:35" ht="15.75" hidden="1" customHeight="1" x14ac:dyDescent="0.25">
      <c r="A33" s="1">
        <v>29</v>
      </c>
      <c r="B33" s="1" t="s">
        <v>197</v>
      </c>
      <c r="C33" s="1" t="s">
        <v>198</v>
      </c>
      <c r="D33" s="1" t="s">
        <v>199</v>
      </c>
      <c r="E33" s="1" t="s">
        <v>62</v>
      </c>
      <c r="F33" s="1" t="s">
        <v>63</v>
      </c>
      <c r="G33" s="1" t="s">
        <v>112</v>
      </c>
      <c r="H33" s="1" t="s">
        <v>41</v>
      </c>
      <c r="I33" s="1" t="s">
        <v>53</v>
      </c>
      <c r="J33" s="1">
        <v>3.3</v>
      </c>
      <c r="K33" s="1" t="s">
        <v>200</v>
      </c>
      <c r="L33" s="1" t="s">
        <v>67</v>
      </c>
      <c r="M33" s="1" t="s">
        <v>56</v>
      </c>
      <c r="N33" s="1" t="s">
        <v>116</v>
      </c>
      <c r="O33" s="2">
        <v>45660</v>
      </c>
      <c r="P33" s="2">
        <v>45661</v>
      </c>
      <c r="Q33" s="1" t="b">
        <v>1</v>
      </c>
      <c r="R33" s="1">
        <v>5</v>
      </c>
      <c r="S33" s="1" t="b">
        <v>1</v>
      </c>
      <c r="T33" s="2">
        <v>45662</v>
      </c>
      <c r="U33" s="1" t="b">
        <v>0</v>
      </c>
      <c r="W33" s="1" t="b">
        <v>0</v>
      </c>
      <c r="Y33" s="1">
        <v>40</v>
      </c>
      <c r="Z33" s="1">
        <v>70</v>
      </c>
      <c r="AA33" s="1">
        <v>43</v>
      </c>
      <c r="AB33" s="1" t="b">
        <v>0</v>
      </c>
      <c r="AD33" s="1" t="b">
        <v>0</v>
      </c>
      <c r="AF33" s="1" t="s">
        <v>151</v>
      </c>
      <c r="AH33" s="1">
        <v>2</v>
      </c>
      <c r="AI33" s="1" t="s">
        <v>70</v>
      </c>
    </row>
    <row r="34" spans="1:35" ht="15.75" hidden="1" customHeight="1" x14ac:dyDescent="0.25">
      <c r="A34" s="1">
        <v>30</v>
      </c>
      <c r="B34" s="1" t="s">
        <v>201</v>
      </c>
      <c r="C34" s="1" t="s">
        <v>202</v>
      </c>
      <c r="D34" s="1" t="s">
        <v>37</v>
      </c>
      <c r="E34" s="1" t="s">
        <v>62</v>
      </c>
      <c r="F34" s="1" t="s">
        <v>63</v>
      </c>
      <c r="G34" s="1" t="s">
        <v>112</v>
      </c>
      <c r="H34" s="1" t="s">
        <v>88</v>
      </c>
      <c r="I34" s="1" t="s">
        <v>82</v>
      </c>
      <c r="J34" s="1">
        <v>3.5</v>
      </c>
      <c r="K34" s="1" t="s">
        <v>203</v>
      </c>
      <c r="L34" s="1" t="s">
        <v>141</v>
      </c>
      <c r="M34" s="1" t="s">
        <v>129</v>
      </c>
      <c r="N34" s="1" t="s">
        <v>116</v>
      </c>
      <c r="O34" s="2">
        <v>45709</v>
      </c>
      <c r="P34" s="2">
        <v>45709</v>
      </c>
      <c r="Q34" s="1" t="b">
        <v>1</v>
      </c>
      <c r="R34" s="1">
        <v>12</v>
      </c>
      <c r="S34" s="1" t="b">
        <v>1</v>
      </c>
      <c r="T34" s="2">
        <v>45710</v>
      </c>
      <c r="U34" s="1" t="b">
        <v>0</v>
      </c>
      <c r="W34" s="1" t="b">
        <v>0</v>
      </c>
      <c r="Y34" s="1">
        <v>76</v>
      </c>
      <c r="Z34" s="1">
        <v>71</v>
      </c>
      <c r="AA34" s="1">
        <v>65</v>
      </c>
      <c r="AB34" s="1" t="b">
        <v>0</v>
      </c>
      <c r="AD34" s="1" t="b">
        <v>0</v>
      </c>
      <c r="AF34" s="1" t="s">
        <v>151</v>
      </c>
      <c r="AH34" s="1">
        <v>1</v>
      </c>
      <c r="AI34" s="1" t="s">
        <v>157</v>
      </c>
    </row>
    <row r="35" spans="1:35" ht="15.75" hidden="1" customHeight="1" x14ac:dyDescent="0.25">
      <c r="A35" s="1">
        <v>31</v>
      </c>
      <c r="B35" s="1" t="s">
        <v>94</v>
      </c>
      <c r="C35" s="1" t="s">
        <v>204</v>
      </c>
      <c r="D35" s="1" t="s">
        <v>205</v>
      </c>
      <c r="E35" s="1" t="s">
        <v>52</v>
      </c>
      <c r="F35" s="1" t="s">
        <v>74</v>
      </c>
      <c r="G35" s="1" t="s">
        <v>40</v>
      </c>
      <c r="H35" s="1" t="s">
        <v>65</v>
      </c>
      <c r="I35" s="1" t="s">
        <v>82</v>
      </c>
      <c r="J35" s="1">
        <v>3.9</v>
      </c>
      <c r="K35" s="1" t="s">
        <v>206</v>
      </c>
      <c r="L35" s="1" t="s">
        <v>90</v>
      </c>
      <c r="M35" s="1" t="s">
        <v>115</v>
      </c>
      <c r="N35" s="1" t="s">
        <v>92</v>
      </c>
      <c r="O35" s="2">
        <v>45786</v>
      </c>
      <c r="P35" s="2">
        <v>45790</v>
      </c>
      <c r="Q35" s="1" t="b">
        <v>1</v>
      </c>
      <c r="R35" s="1">
        <v>6</v>
      </c>
      <c r="S35" s="1" t="b">
        <v>1</v>
      </c>
      <c r="T35" s="2">
        <v>45799</v>
      </c>
      <c r="U35" s="1" t="b">
        <v>0</v>
      </c>
      <c r="W35" s="1" t="b">
        <v>0</v>
      </c>
      <c r="Y35" s="1">
        <v>71</v>
      </c>
      <c r="Z35" s="1">
        <v>82</v>
      </c>
      <c r="AA35" s="1">
        <v>86</v>
      </c>
      <c r="AB35" s="1" t="b">
        <v>0</v>
      </c>
      <c r="AD35" s="1" t="b">
        <v>0</v>
      </c>
      <c r="AF35" s="1" t="s">
        <v>151</v>
      </c>
      <c r="AG35" s="1" t="s">
        <v>207</v>
      </c>
      <c r="AH35" s="1">
        <v>13</v>
      </c>
      <c r="AI35" s="1" t="s">
        <v>118</v>
      </c>
    </row>
    <row r="36" spans="1:35" ht="15.75" hidden="1" customHeight="1" x14ac:dyDescent="0.25">
      <c r="A36" s="1">
        <v>32</v>
      </c>
      <c r="B36" s="1" t="s">
        <v>208</v>
      </c>
      <c r="C36" s="1" t="s">
        <v>209</v>
      </c>
      <c r="D36" s="1" t="s">
        <v>108</v>
      </c>
      <c r="E36" s="1" t="s">
        <v>52</v>
      </c>
      <c r="F36" s="1" t="s">
        <v>63</v>
      </c>
      <c r="G36" s="1" t="s">
        <v>75</v>
      </c>
      <c r="H36" s="1" t="s">
        <v>65</v>
      </c>
      <c r="I36" s="1" t="s">
        <v>82</v>
      </c>
      <c r="J36" s="1">
        <v>4.9000000000000004</v>
      </c>
      <c r="K36" s="1" t="s">
        <v>210</v>
      </c>
      <c r="L36" s="1" t="s">
        <v>90</v>
      </c>
      <c r="M36" s="1" t="s">
        <v>129</v>
      </c>
      <c r="N36" s="1" t="s">
        <v>92</v>
      </c>
      <c r="O36" s="2">
        <v>45783</v>
      </c>
      <c r="P36" s="2">
        <v>45787</v>
      </c>
      <c r="Q36" s="1" t="b">
        <v>1</v>
      </c>
      <c r="R36" s="1">
        <v>1</v>
      </c>
      <c r="S36" s="1" t="b">
        <v>1</v>
      </c>
      <c r="T36" s="2">
        <v>45790</v>
      </c>
      <c r="U36" s="1" t="b">
        <v>1</v>
      </c>
      <c r="V36" s="2">
        <v>45799</v>
      </c>
      <c r="W36" s="1" t="b">
        <v>1</v>
      </c>
      <c r="X36" s="2">
        <v>45801</v>
      </c>
      <c r="Y36" s="1">
        <v>57</v>
      </c>
      <c r="Z36" s="1">
        <v>74</v>
      </c>
      <c r="AA36" s="1">
        <v>66</v>
      </c>
      <c r="AB36" s="1" t="b">
        <v>0</v>
      </c>
      <c r="AD36" s="1" t="b">
        <v>0</v>
      </c>
      <c r="AF36" s="1" t="s">
        <v>47</v>
      </c>
      <c r="AH36" s="1">
        <v>18</v>
      </c>
      <c r="AI36" s="1" t="s">
        <v>48</v>
      </c>
    </row>
    <row r="37" spans="1:35" ht="15.75" customHeight="1" x14ac:dyDescent="0.25">
      <c r="A37" s="1">
        <v>33</v>
      </c>
      <c r="B37" s="1" t="s">
        <v>211</v>
      </c>
      <c r="C37" s="1" t="s">
        <v>212</v>
      </c>
      <c r="D37" s="1" t="s">
        <v>213</v>
      </c>
      <c r="E37" s="1" t="s">
        <v>62</v>
      </c>
      <c r="F37" s="1" t="s">
        <v>39</v>
      </c>
      <c r="G37" s="1" t="s">
        <v>40</v>
      </c>
      <c r="H37" s="1" t="s">
        <v>88</v>
      </c>
      <c r="I37" s="1" t="s">
        <v>82</v>
      </c>
      <c r="J37" s="1">
        <v>0.8</v>
      </c>
      <c r="K37" s="1" t="s">
        <v>214</v>
      </c>
      <c r="L37" s="1" t="s">
        <v>55</v>
      </c>
      <c r="M37" s="1" t="s">
        <v>115</v>
      </c>
      <c r="N37" s="1" t="s">
        <v>116</v>
      </c>
      <c r="O37" s="2">
        <v>45765</v>
      </c>
      <c r="P37" s="2">
        <v>45765</v>
      </c>
      <c r="Q37" s="1" t="b">
        <v>0</v>
      </c>
      <c r="S37" s="1" t="b">
        <v>0</v>
      </c>
      <c r="U37" s="1" t="b">
        <v>0</v>
      </c>
      <c r="W37" s="1" t="b">
        <v>0</v>
      </c>
      <c r="Y37" s="1">
        <v>60</v>
      </c>
      <c r="Z37" s="1">
        <v>84</v>
      </c>
      <c r="AA37" s="1">
        <v>66</v>
      </c>
      <c r="AB37" s="1" t="b">
        <v>0</v>
      </c>
      <c r="AD37" s="1" t="b">
        <v>0</v>
      </c>
      <c r="AF37" s="1" t="s">
        <v>77</v>
      </c>
      <c r="AG37" s="1" t="s">
        <v>69</v>
      </c>
      <c r="AH37" s="1">
        <v>0</v>
      </c>
      <c r="AI37" s="1" t="s">
        <v>215</v>
      </c>
    </row>
    <row r="38" spans="1:35" ht="15.75" hidden="1" customHeight="1" x14ac:dyDescent="0.25">
      <c r="A38" s="1">
        <v>34</v>
      </c>
      <c r="B38" s="1" t="s">
        <v>216</v>
      </c>
      <c r="C38" s="1" t="s">
        <v>217</v>
      </c>
      <c r="D38" s="1" t="s">
        <v>218</v>
      </c>
      <c r="E38" s="1" t="s">
        <v>38</v>
      </c>
      <c r="F38" s="1" t="s">
        <v>63</v>
      </c>
      <c r="G38" s="1" t="s">
        <v>64</v>
      </c>
      <c r="H38" s="1" t="s">
        <v>41</v>
      </c>
      <c r="I38" s="1" t="s">
        <v>82</v>
      </c>
      <c r="J38" s="1">
        <v>0</v>
      </c>
      <c r="K38" s="1" t="s">
        <v>54</v>
      </c>
      <c r="L38" s="1" t="s">
        <v>114</v>
      </c>
      <c r="M38" s="1" t="s">
        <v>146</v>
      </c>
      <c r="N38" s="1" t="s">
        <v>46</v>
      </c>
      <c r="O38" s="2">
        <v>45776</v>
      </c>
      <c r="P38" s="2">
        <v>45776</v>
      </c>
      <c r="Q38" s="1" t="b">
        <v>1</v>
      </c>
      <c r="R38" s="1">
        <v>3</v>
      </c>
      <c r="S38" s="1" t="b">
        <v>1</v>
      </c>
      <c r="T38" s="2">
        <v>45779</v>
      </c>
      <c r="U38" s="1" t="b">
        <v>1</v>
      </c>
      <c r="V38" s="2">
        <v>45783</v>
      </c>
      <c r="W38" s="1" t="b">
        <v>1</v>
      </c>
      <c r="X38" s="2">
        <v>45792</v>
      </c>
      <c r="Y38" s="1">
        <v>75</v>
      </c>
      <c r="Z38" s="1">
        <v>87</v>
      </c>
      <c r="AA38" s="1">
        <v>92</v>
      </c>
      <c r="AB38" s="1" t="b">
        <v>1</v>
      </c>
      <c r="AC38" s="2">
        <v>45796</v>
      </c>
      <c r="AD38" s="1" t="b">
        <v>1</v>
      </c>
      <c r="AE38" s="2">
        <v>45805</v>
      </c>
      <c r="AF38" s="1" t="s">
        <v>134</v>
      </c>
      <c r="AH38" s="1">
        <v>29</v>
      </c>
      <c r="AI38" s="1" t="s">
        <v>165</v>
      </c>
    </row>
    <row r="39" spans="1:35" ht="15.75" customHeight="1" x14ac:dyDescent="0.25">
      <c r="A39" s="1">
        <v>35</v>
      </c>
      <c r="B39" s="1" t="s">
        <v>219</v>
      </c>
      <c r="C39" s="1" t="s">
        <v>220</v>
      </c>
      <c r="D39" s="1" t="s">
        <v>221</v>
      </c>
      <c r="E39" s="1" t="s">
        <v>38</v>
      </c>
      <c r="F39" s="1" t="s">
        <v>39</v>
      </c>
      <c r="G39" s="1" t="s">
        <v>64</v>
      </c>
      <c r="H39" s="1" t="s">
        <v>88</v>
      </c>
      <c r="I39" s="1" t="s">
        <v>42</v>
      </c>
      <c r="J39" s="1">
        <v>6.2</v>
      </c>
      <c r="K39" s="1" t="s">
        <v>222</v>
      </c>
      <c r="L39" s="1" t="s">
        <v>90</v>
      </c>
      <c r="M39" s="1" t="s">
        <v>45</v>
      </c>
      <c r="N39" s="1" t="s">
        <v>92</v>
      </c>
      <c r="O39" s="2">
        <v>45752</v>
      </c>
      <c r="P39" s="2">
        <v>45757</v>
      </c>
      <c r="Q39" s="1" t="b">
        <v>0</v>
      </c>
      <c r="S39" s="1" t="b">
        <v>0</v>
      </c>
      <c r="U39" s="1" t="b">
        <v>0</v>
      </c>
      <c r="W39" s="1" t="b">
        <v>0</v>
      </c>
      <c r="Y39" s="1">
        <v>98</v>
      </c>
      <c r="Z39" s="1">
        <v>90</v>
      </c>
      <c r="AA39" s="1">
        <v>84</v>
      </c>
      <c r="AB39" s="1" t="b">
        <v>0</v>
      </c>
      <c r="AD39" s="1" t="b">
        <v>0</v>
      </c>
      <c r="AF39" s="1" t="s">
        <v>77</v>
      </c>
      <c r="AG39" s="1" t="s">
        <v>69</v>
      </c>
      <c r="AH39" s="1">
        <v>5</v>
      </c>
      <c r="AI39" s="1" t="s">
        <v>118</v>
      </c>
    </row>
    <row r="40" spans="1:35" ht="12.5" hidden="1" x14ac:dyDescent="0.25">
      <c r="A40" s="1">
        <v>36</v>
      </c>
      <c r="B40" s="1" t="s">
        <v>223</v>
      </c>
      <c r="C40" s="1" t="s">
        <v>224</v>
      </c>
      <c r="D40" s="1" t="s">
        <v>225</v>
      </c>
      <c r="E40" s="1" t="s">
        <v>102</v>
      </c>
      <c r="F40" s="1" t="s">
        <v>63</v>
      </c>
      <c r="G40" s="1" t="s">
        <v>64</v>
      </c>
      <c r="H40" s="1" t="s">
        <v>65</v>
      </c>
      <c r="I40" s="1" t="s">
        <v>53</v>
      </c>
      <c r="J40" s="1">
        <v>3.5</v>
      </c>
      <c r="K40" s="1" t="s">
        <v>226</v>
      </c>
      <c r="L40" s="1" t="s">
        <v>141</v>
      </c>
      <c r="M40" s="1" t="s">
        <v>129</v>
      </c>
      <c r="N40" s="1" t="s">
        <v>84</v>
      </c>
      <c r="O40" s="2">
        <v>45669</v>
      </c>
      <c r="P40" s="2">
        <v>45669</v>
      </c>
      <c r="Q40" s="1" t="b">
        <v>1</v>
      </c>
      <c r="R40" s="1">
        <v>8</v>
      </c>
      <c r="S40" s="1" t="b">
        <v>0</v>
      </c>
      <c r="U40" s="1" t="b">
        <v>0</v>
      </c>
      <c r="W40" s="1" t="b">
        <v>0</v>
      </c>
      <c r="Y40" s="1">
        <v>55</v>
      </c>
      <c r="Z40" s="1">
        <v>92</v>
      </c>
      <c r="AA40" s="1">
        <v>79</v>
      </c>
      <c r="AB40" s="1" t="b">
        <v>0</v>
      </c>
      <c r="AD40" s="1" t="b">
        <v>0</v>
      </c>
      <c r="AF40" s="1" t="s">
        <v>57</v>
      </c>
      <c r="AG40" s="1" t="s">
        <v>176</v>
      </c>
      <c r="AH40" s="1">
        <v>0</v>
      </c>
      <c r="AI40" s="1" t="s">
        <v>93</v>
      </c>
    </row>
    <row r="41" spans="1:35" ht="12.5" hidden="1" x14ac:dyDescent="0.25">
      <c r="A41" s="1">
        <v>37</v>
      </c>
      <c r="B41" s="1" t="s">
        <v>227</v>
      </c>
      <c r="C41" s="1" t="s">
        <v>228</v>
      </c>
      <c r="D41" s="1" t="s">
        <v>229</v>
      </c>
      <c r="E41" s="1" t="s">
        <v>52</v>
      </c>
      <c r="F41" s="1" t="s">
        <v>63</v>
      </c>
      <c r="G41" s="1" t="s">
        <v>64</v>
      </c>
      <c r="H41" s="1" t="s">
        <v>65</v>
      </c>
      <c r="I41" s="1" t="s">
        <v>53</v>
      </c>
      <c r="J41" s="1">
        <v>5.3</v>
      </c>
      <c r="K41" s="1" t="s">
        <v>230</v>
      </c>
      <c r="L41" s="1" t="s">
        <v>55</v>
      </c>
      <c r="M41" s="1" t="s">
        <v>56</v>
      </c>
      <c r="N41" s="1" t="s">
        <v>92</v>
      </c>
      <c r="O41" s="2">
        <v>45777</v>
      </c>
      <c r="P41" s="2">
        <v>45777</v>
      </c>
      <c r="Q41" s="1" t="b">
        <v>1</v>
      </c>
      <c r="R41" s="1">
        <v>11</v>
      </c>
      <c r="S41" s="1" t="b">
        <v>1</v>
      </c>
      <c r="T41" s="2">
        <v>45786</v>
      </c>
      <c r="U41" s="1" t="b">
        <v>0</v>
      </c>
      <c r="W41" s="1" t="b">
        <v>0</v>
      </c>
      <c r="Y41" s="1">
        <v>45</v>
      </c>
      <c r="Z41" s="1">
        <v>75</v>
      </c>
      <c r="AA41" s="1">
        <v>45</v>
      </c>
      <c r="AB41" s="1" t="b">
        <v>0</v>
      </c>
      <c r="AD41" s="1" t="b">
        <v>0</v>
      </c>
      <c r="AF41" s="1" t="s">
        <v>151</v>
      </c>
      <c r="AH41" s="1">
        <v>9</v>
      </c>
      <c r="AI41" s="1" t="s">
        <v>93</v>
      </c>
    </row>
    <row r="42" spans="1:35" ht="12.5" hidden="1" x14ac:dyDescent="0.25">
      <c r="A42" s="1">
        <v>38</v>
      </c>
      <c r="B42" s="1" t="s">
        <v>231</v>
      </c>
      <c r="C42" s="1" t="s">
        <v>232</v>
      </c>
      <c r="D42" s="1" t="s">
        <v>160</v>
      </c>
      <c r="E42" s="1" t="s">
        <v>52</v>
      </c>
      <c r="F42" s="1" t="s">
        <v>74</v>
      </c>
      <c r="G42" s="1" t="s">
        <v>97</v>
      </c>
      <c r="H42" s="1" t="s">
        <v>65</v>
      </c>
      <c r="I42" s="1" t="s">
        <v>53</v>
      </c>
      <c r="J42" s="1">
        <v>5.3</v>
      </c>
      <c r="K42" s="1" t="s">
        <v>233</v>
      </c>
      <c r="L42" s="1" t="s">
        <v>90</v>
      </c>
      <c r="M42" s="1" t="s">
        <v>68</v>
      </c>
      <c r="N42" s="1" t="s">
        <v>84</v>
      </c>
      <c r="O42" s="2">
        <v>45792</v>
      </c>
      <c r="P42" s="2">
        <v>45792</v>
      </c>
      <c r="Q42" s="1" t="b">
        <v>1</v>
      </c>
      <c r="R42" s="1">
        <v>4</v>
      </c>
      <c r="S42" s="1" t="b">
        <v>0</v>
      </c>
      <c r="U42" s="1" t="b">
        <v>0</v>
      </c>
      <c r="W42" s="1" t="b">
        <v>0</v>
      </c>
      <c r="Y42" s="1">
        <v>72</v>
      </c>
      <c r="Z42" s="1">
        <v>65</v>
      </c>
      <c r="AA42" s="1">
        <v>59</v>
      </c>
      <c r="AB42" s="1" t="b">
        <v>0</v>
      </c>
      <c r="AD42" s="1" t="b">
        <v>0</v>
      </c>
      <c r="AF42" s="1" t="s">
        <v>57</v>
      </c>
      <c r="AG42" s="1" t="s">
        <v>234</v>
      </c>
      <c r="AH42" s="1">
        <v>0</v>
      </c>
      <c r="AI42" s="1" t="s">
        <v>215</v>
      </c>
    </row>
    <row r="43" spans="1:35" ht="12.5" hidden="1" x14ac:dyDescent="0.25">
      <c r="A43" s="1">
        <v>39</v>
      </c>
      <c r="B43" s="1" t="s">
        <v>235</v>
      </c>
      <c r="C43" s="1" t="s">
        <v>236</v>
      </c>
      <c r="D43" s="1" t="s">
        <v>237</v>
      </c>
      <c r="E43" s="1" t="s">
        <v>62</v>
      </c>
      <c r="F43" s="1" t="s">
        <v>63</v>
      </c>
      <c r="G43" s="1" t="s">
        <v>75</v>
      </c>
      <c r="H43" s="1" t="s">
        <v>88</v>
      </c>
      <c r="I43" s="1" t="s">
        <v>53</v>
      </c>
      <c r="J43" s="1">
        <v>1.6</v>
      </c>
      <c r="K43" s="1" t="s">
        <v>238</v>
      </c>
      <c r="L43" s="1" t="s">
        <v>141</v>
      </c>
      <c r="M43" s="1" t="s">
        <v>45</v>
      </c>
      <c r="N43" s="1" t="s">
        <v>84</v>
      </c>
      <c r="O43" s="2">
        <v>45802</v>
      </c>
      <c r="P43" s="2">
        <v>45802</v>
      </c>
      <c r="Q43" s="1" t="b">
        <v>1</v>
      </c>
      <c r="R43" s="1">
        <v>9</v>
      </c>
      <c r="S43" s="1" t="b">
        <v>1</v>
      </c>
      <c r="T43" s="2">
        <v>45809</v>
      </c>
      <c r="U43" s="1" t="b">
        <v>1</v>
      </c>
      <c r="V43" s="2">
        <v>45817</v>
      </c>
      <c r="W43" s="1" t="b">
        <v>1</v>
      </c>
      <c r="X43" s="2">
        <v>45823</v>
      </c>
      <c r="Y43" s="1">
        <v>73</v>
      </c>
      <c r="Z43" s="1">
        <v>71</v>
      </c>
      <c r="AA43" s="1">
        <v>74</v>
      </c>
      <c r="AB43" s="1" t="b">
        <v>1</v>
      </c>
      <c r="AC43" s="2">
        <v>45825</v>
      </c>
      <c r="AD43" s="1" t="b">
        <v>1</v>
      </c>
      <c r="AE43" s="2">
        <v>45835</v>
      </c>
      <c r="AF43" s="1" t="s">
        <v>134</v>
      </c>
      <c r="AH43" s="1">
        <v>33</v>
      </c>
      <c r="AI43" s="1" t="s">
        <v>48</v>
      </c>
    </row>
    <row r="44" spans="1:35" ht="12.5" hidden="1" x14ac:dyDescent="0.25">
      <c r="A44" s="1">
        <v>40</v>
      </c>
      <c r="B44" s="1" t="s">
        <v>239</v>
      </c>
      <c r="C44" s="1" t="s">
        <v>240</v>
      </c>
      <c r="D44" s="1" t="s">
        <v>241</v>
      </c>
      <c r="E44" s="1" t="s">
        <v>52</v>
      </c>
      <c r="F44" s="1" t="s">
        <v>63</v>
      </c>
      <c r="G44" s="1" t="s">
        <v>75</v>
      </c>
      <c r="H44" s="1" t="s">
        <v>88</v>
      </c>
      <c r="I44" s="1" t="s">
        <v>103</v>
      </c>
      <c r="J44" s="1">
        <v>9.3000000000000007</v>
      </c>
      <c r="K44" s="1" t="s">
        <v>242</v>
      </c>
      <c r="L44" s="1" t="s">
        <v>141</v>
      </c>
      <c r="M44" s="1" t="s">
        <v>68</v>
      </c>
      <c r="N44" s="1" t="s">
        <v>116</v>
      </c>
      <c r="O44" s="2">
        <v>45806</v>
      </c>
      <c r="P44" s="2">
        <v>45806</v>
      </c>
      <c r="Q44" s="1" t="b">
        <v>1</v>
      </c>
      <c r="R44" s="1">
        <v>8</v>
      </c>
      <c r="S44" s="1" t="b">
        <v>0</v>
      </c>
      <c r="U44" s="1" t="b">
        <v>0</v>
      </c>
      <c r="W44" s="1" t="b">
        <v>0</v>
      </c>
      <c r="Y44" s="1">
        <v>66</v>
      </c>
      <c r="Z44" s="1">
        <v>93</v>
      </c>
      <c r="AA44" s="1">
        <v>72</v>
      </c>
      <c r="AB44" s="1" t="b">
        <v>0</v>
      </c>
      <c r="AD44" s="1" t="b">
        <v>0</v>
      </c>
      <c r="AF44" s="1" t="s">
        <v>57</v>
      </c>
      <c r="AH44" s="1">
        <v>0</v>
      </c>
      <c r="AI44" s="1" t="s">
        <v>165</v>
      </c>
    </row>
    <row r="45" spans="1:35" ht="12.5" hidden="1" x14ac:dyDescent="0.25">
      <c r="A45" s="1">
        <v>41</v>
      </c>
      <c r="B45" s="1" t="s">
        <v>243</v>
      </c>
      <c r="C45" s="1" t="s">
        <v>244</v>
      </c>
      <c r="D45" s="1" t="s">
        <v>245</v>
      </c>
      <c r="E45" s="1" t="s">
        <v>62</v>
      </c>
      <c r="F45" s="1" t="s">
        <v>63</v>
      </c>
      <c r="G45" s="1" t="s">
        <v>40</v>
      </c>
      <c r="H45" s="1" t="s">
        <v>88</v>
      </c>
      <c r="I45" s="1" t="s">
        <v>42</v>
      </c>
      <c r="J45" s="1">
        <v>6.5</v>
      </c>
      <c r="K45" s="1" t="s">
        <v>246</v>
      </c>
      <c r="L45" s="1" t="s">
        <v>114</v>
      </c>
      <c r="M45" s="1" t="s">
        <v>115</v>
      </c>
      <c r="N45" s="1" t="s">
        <v>46</v>
      </c>
      <c r="O45" s="2">
        <v>45787</v>
      </c>
      <c r="P45" s="2">
        <v>45787</v>
      </c>
      <c r="Q45" s="1" t="b">
        <v>1</v>
      </c>
      <c r="R45" s="1">
        <v>0</v>
      </c>
      <c r="S45" s="1" t="b">
        <v>0</v>
      </c>
      <c r="U45" s="1" t="b">
        <v>0</v>
      </c>
      <c r="W45" s="1" t="b">
        <v>0</v>
      </c>
      <c r="Y45" s="1">
        <v>100</v>
      </c>
      <c r="Z45" s="1">
        <v>100</v>
      </c>
      <c r="AA45" s="1">
        <v>96</v>
      </c>
      <c r="AB45" s="1" t="b">
        <v>0</v>
      </c>
      <c r="AD45" s="1" t="b">
        <v>0</v>
      </c>
      <c r="AF45" s="1" t="s">
        <v>57</v>
      </c>
      <c r="AH45" s="1">
        <v>0</v>
      </c>
      <c r="AI45" s="1" t="s">
        <v>70</v>
      </c>
    </row>
    <row r="46" spans="1:35" ht="12.5" x14ac:dyDescent="0.25">
      <c r="A46" s="1">
        <v>42</v>
      </c>
      <c r="B46" s="1" t="s">
        <v>247</v>
      </c>
      <c r="C46" s="1" t="s">
        <v>248</v>
      </c>
      <c r="D46" s="1" t="s">
        <v>249</v>
      </c>
      <c r="E46" s="1" t="s">
        <v>102</v>
      </c>
      <c r="F46" s="1" t="s">
        <v>63</v>
      </c>
      <c r="G46" s="1" t="s">
        <v>64</v>
      </c>
      <c r="H46" s="1" t="s">
        <v>88</v>
      </c>
      <c r="I46" s="1" t="s">
        <v>103</v>
      </c>
      <c r="J46" s="1">
        <v>10.7</v>
      </c>
      <c r="K46" s="1" t="s">
        <v>250</v>
      </c>
      <c r="L46" s="1" t="s">
        <v>90</v>
      </c>
      <c r="M46" s="1" t="s">
        <v>56</v>
      </c>
      <c r="N46" s="1" t="s">
        <v>116</v>
      </c>
      <c r="O46" s="2">
        <v>45694</v>
      </c>
      <c r="P46" s="2">
        <v>45694</v>
      </c>
      <c r="Q46" s="1" t="b">
        <v>0</v>
      </c>
      <c r="S46" s="1" t="b">
        <v>0</v>
      </c>
      <c r="U46" s="1" t="b">
        <v>0</v>
      </c>
      <c r="W46" s="1" t="b">
        <v>0</v>
      </c>
      <c r="Y46" s="1">
        <v>55</v>
      </c>
      <c r="Z46" s="1">
        <v>79</v>
      </c>
      <c r="AA46" s="1">
        <v>69</v>
      </c>
      <c r="AB46" s="1" t="b">
        <v>0</v>
      </c>
      <c r="AD46" s="1" t="b">
        <v>0</v>
      </c>
      <c r="AF46" s="1" t="s">
        <v>77</v>
      </c>
      <c r="AG46" s="1" t="s">
        <v>69</v>
      </c>
      <c r="AH46" s="1">
        <v>0</v>
      </c>
      <c r="AI46" s="1" t="s">
        <v>78</v>
      </c>
    </row>
    <row r="47" spans="1:35" ht="12.5" x14ac:dyDescent="0.25">
      <c r="A47" s="1">
        <v>43</v>
      </c>
      <c r="B47" s="1" t="s">
        <v>251</v>
      </c>
      <c r="C47" s="1" t="s">
        <v>252</v>
      </c>
      <c r="D47" s="1" t="s">
        <v>253</v>
      </c>
      <c r="E47" s="1" t="s">
        <v>52</v>
      </c>
      <c r="F47" s="1" t="s">
        <v>63</v>
      </c>
      <c r="G47" s="1" t="s">
        <v>75</v>
      </c>
      <c r="H47" s="1" t="s">
        <v>88</v>
      </c>
      <c r="I47" s="1" t="s">
        <v>42</v>
      </c>
      <c r="J47" s="1">
        <v>7.2</v>
      </c>
      <c r="K47" s="1" t="s">
        <v>156</v>
      </c>
      <c r="L47" s="1" t="s">
        <v>55</v>
      </c>
      <c r="M47" s="1" t="s">
        <v>56</v>
      </c>
      <c r="N47" s="1" t="s">
        <v>46</v>
      </c>
      <c r="O47" s="2">
        <v>45685</v>
      </c>
      <c r="P47" s="2">
        <v>45690</v>
      </c>
      <c r="Q47" s="1" t="b">
        <v>0</v>
      </c>
      <c r="S47" s="1" t="b">
        <v>0</v>
      </c>
      <c r="U47" s="1" t="b">
        <v>0</v>
      </c>
      <c r="W47" s="1" t="b">
        <v>0</v>
      </c>
      <c r="Y47" s="1">
        <v>73</v>
      </c>
      <c r="Z47" s="1">
        <v>81</v>
      </c>
      <c r="AA47" s="1">
        <v>78</v>
      </c>
      <c r="AB47" s="1" t="b">
        <v>0</v>
      </c>
      <c r="AD47" s="1" t="b">
        <v>0</v>
      </c>
      <c r="AF47" s="1" t="s">
        <v>77</v>
      </c>
      <c r="AG47" s="1" t="s">
        <v>69</v>
      </c>
      <c r="AH47" s="1">
        <v>5</v>
      </c>
      <c r="AI47" s="1" t="s">
        <v>165</v>
      </c>
    </row>
    <row r="48" spans="1:35" ht="12.5" x14ac:dyDescent="0.25">
      <c r="A48" s="1">
        <v>44</v>
      </c>
      <c r="B48" s="1" t="s">
        <v>254</v>
      </c>
      <c r="C48" s="1" t="s">
        <v>255</v>
      </c>
      <c r="D48" s="1" t="s">
        <v>256</v>
      </c>
      <c r="E48" s="1" t="s">
        <v>52</v>
      </c>
      <c r="F48" s="1" t="s">
        <v>111</v>
      </c>
      <c r="G48" s="1" t="s">
        <v>139</v>
      </c>
      <c r="H48" s="1" t="s">
        <v>41</v>
      </c>
      <c r="I48" s="1" t="s">
        <v>53</v>
      </c>
      <c r="J48" s="1">
        <v>6.3</v>
      </c>
      <c r="K48" s="1" t="s">
        <v>257</v>
      </c>
      <c r="L48" s="1" t="s">
        <v>114</v>
      </c>
      <c r="M48" s="1" t="s">
        <v>68</v>
      </c>
      <c r="N48" s="1" t="s">
        <v>92</v>
      </c>
      <c r="O48" s="2">
        <v>45774</v>
      </c>
      <c r="P48" s="2">
        <v>45774</v>
      </c>
      <c r="Q48" s="1" t="b">
        <v>1</v>
      </c>
      <c r="R48" s="1">
        <v>4</v>
      </c>
      <c r="S48" s="1" t="b">
        <v>1</v>
      </c>
      <c r="T48" s="2">
        <v>45778</v>
      </c>
      <c r="U48" s="1" t="b">
        <v>1</v>
      </c>
      <c r="V48" s="2">
        <v>45788</v>
      </c>
      <c r="W48" s="1" t="b">
        <v>1</v>
      </c>
      <c r="X48" s="2">
        <v>45795</v>
      </c>
      <c r="Y48" s="1">
        <v>92</v>
      </c>
      <c r="Z48" s="1">
        <v>57</v>
      </c>
      <c r="AA48" s="1">
        <v>78</v>
      </c>
      <c r="AB48" s="1" t="b">
        <v>0</v>
      </c>
      <c r="AD48" s="1" t="b">
        <v>0</v>
      </c>
      <c r="AF48" s="1" t="s">
        <v>47</v>
      </c>
      <c r="AG48" s="1" t="s">
        <v>69</v>
      </c>
      <c r="AH48" s="1">
        <v>21</v>
      </c>
      <c r="AI48" s="1" t="s">
        <v>157</v>
      </c>
    </row>
    <row r="49" spans="1:35" ht="12.5" hidden="1" x14ac:dyDescent="0.25">
      <c r="A49" s="1">
        <v>45</v>
      </c>
      <c r="B49" s="1" t="s">
        <v>258</v>
      </c>
      <c r="C49" s="1" t="s">
        <v>259</v>
      </c>
      <c r="D49" s="1" t="s">
        <v>225</v>
      </c>
      <c r="E49" s="1" t="s">
        <v>62</v>
      </c>
      <c r="F49" s="1" t="s">
        <v>111</v>
      </c>
      <c r="G49" s="1" t="s">
        <v>97</v>
      </c>
      <c r="H49" s="1" t="s">
        <v>88</v>
      </c>
      <c r="I49" s="1" t="s">
        <v>82</v>
      </c>
      <c r="J49" s="1">
        <v>2.6</v>
      </c>
      <c r="K49" s="1" t="s">
        <v>260</v>
      </c>
      <c r="L49" s="1" t="s">
        <v>67</v>
      </c>
      <c r="M49" s="1" t="s">
        <v>45</v>
      </c>
      <c r="N49" s="1" t="s">
        <v>84</v>
      </c>
      <c r="O49" s="2">
        <v>45774</v>
      </c>
      <c r="P49" s="2">
        <v>45776</v>
      </c>
      <c r="Q49" s="1" t="b">
        <v>1</v>
      </c>
      <c r="R49" s="1">
        <v>11</v>
      </c>
      <c r="S49" s="1" t="b">
        <v>1</v>
      </c>
      <c r="T49" s="2">
        <v>45786</v>
      </c>
      <c r="U49" s="1" t="b">
        <v>1</v>
      </c>
      <c r="V49" s="2">
        <v>45788</v>
      </c>
      <c r="W49" s="1" t="b">
        <v>0</v>
      </c>
      <c r="Y49" s="1">
        <v>56</v>
      </c>
      <c r="Z49" s="1">
        <v>57</v>
      </c>
      <c r="AA49" s="1">
        <v>52</v>
      </c>
      <c r="AB49" s="1" t="b">
        <v>0</v>
      </c>
      <c r="AD49" s="1" t="b">
        <v>0</v>
      </c>
      <c r="AF49" s="1" t="s">
        <v>105</v>
      </c>
      <c r="AG49" s="1" t="s">
        <v>124</v>
      </c>
      <c r="AH49" s="1">
        <v>14</v>
      </c>
      <c r="AI49" s="1" t="s">
        <v>157</v>
      </c>
    </row>
    <row r="50" spans="1:35" ht="12.5" hidden="1" x14ac:dyDescent="0.25">
      <c r="A50" s="1">
        <v>46</v>
      </c>
      <c r="B50" s="1" t="s">
        <v>261</v>
      </c>
      <c r="C50" s="1" t="s">
        <v>262</v>
      </c>
      <c r="D50" s="1" t="s">
        <v>263</v>
      </c>
      <c r="E50" s="1" t="s">
        <v>102</v>
      </c>
      <c r="F50" s="1" t="s">
        <v>39</v>
      </c>
      <c r="G50" s="1" t="s">
        <v>75</v>
      </c>
      <c r="H50" s="1" t="s">
        <v>65</v>
      </c>
      <c r="I50" s="1" t="s">
        <v>53</v>
      </c>
      <c r="J50" s="1">
        <v>7.4</v>
      </c>
      <c r="K50" s="1" t="s">
        <v>264</v>
      </c>
      <c r="L50" s="1" t="s">
        <v>55</v>
      </c>
      <c r="M50" s="1" t="s">
        <v>115</v>
      </c>
      <c r="N50" s="1" t="s">
        <v>92</v>
      </c>
      <c r="O50" s="2">
        <v>45721</v>
      </c>
      <c r="P50" s="2">
        <v>45724</v>
      </c>
      <c r="Q50" s="1" t="b">
        <v>1</v>
      </c>
      <c r="R50" s="1">
        <v>0</v>
      </c>
      <c r="S50" s="1" t="b">
        <v>1</v>
      </c>
      <c r="T50" s="2">
        <v>45730</v>
      </c>
      <c r="U50" s="1" t="b">
        <v>1</v>
      </c>
      <c r="V50" s="2">
        <v>45742</v>
      </c>
      <c r="W50" s="1" t="b">
        <v>1</v>
      </c>
      <c r="X50" s="2">
        <v>45744</v>
      </c>
      <c r="Y50" s="1">
        <v>72</v>
      </c>
      <c r="Z50" s="1">
        <v>86</v>
      </c>
      <c r="AA50" s="1">
        <v>72</v>
      </c>
      <c r="AB50" s="1" t="b">
        <v>1</v>
      </c>
      <c r="AC50" s="2">
        <v>45751</v>
      </c>
      <c r="AD50" s="1" t="b">
        <v>1</v>
      </c>
      <c r="AE50" s="2">
        <v>45762</v>
      </c>
      <c r="AF50" s="1" t="s">
        <v>134</v>
      </c>
      <c r="AH50" s="1">
        <v>41</v>
      </c>
      <c r="AI50" s="1" t="s">
        <v>215</v>
      </c>
    </row>
    <row r="51" spans="1:35" ht="12.5" hidden="1" x14ac:dyDescent="0.25">
      <c r="A51" s="1">
        <v>47</v>
      </c>
      <c r="B51" s="1" t="s">
        <v>265</v>
      </c>
      <c r="C51" s="1" t="s">
        <v>266</v>
      </c>
      <c r="D51" s="1" t="s">
        <v>267</v>
      </c>
      <c r="E51" s="1" t="s">
        <v>62</v>
      </c>
      <c r="F51" s="1" t="s">
        <v>111</v>
      </c>
      <c r="G51" s="1" t="s">
        <v>139</v>
      </c>
      <c r="H51" s="1" t="s">
        <v>41</v>
      </c>
      <c r="I51" s="1" t="s">
        <v>103</v>
      </c>
      <c r="J51" s="1">
        <v>11</v>
      </c>
      <c r="K51" s="1" t="s">
        <v>268</v>
      </c>
      <c r="L51" s="1" t="s">
        <v>67</v>
      </c>
      <c r="M51" s="1" t="s">
        <v>146</v>
      </c>
      <c r="N51" s="1" t="s">
        <v>46</v>
      </c>
      <c r="O51" s="2">
        <v>45729</v>
      </c>
      <c r="P51" s="2">
        <v>45733</v>
      </c>
      <c r="Q51" s="1" t="b">
        <v>1</v>
      </c>
      <c r="R51" s="1">
        <v>10</v>
      </c>
      <c r="S51" s="1" t="b">
        <v>0</v>
      </c>
      <c r="U51" s="1" t="b">
        <v>0</v>
      </c>
      <c r="W51" s="1" t="b">
        <v>0</v>
      </c>
      <c r="Y51" s="1">
        <v>63</v>
      </c>
      <c r="Z51" s="1">
        <v>88</v>
      </c>
      <c r="AA51" s="1">
        <v>88</v>
      </c>
      <c r="AB51" s="1" t="b">
        <v>0</v>
      </c>
      <c r="AD51" s="1" t="b">
        <v>0</v>
      </c>
      <c r="AF51" s="1" t="s">
        <v>57</v>
      </c>
      <c r="AH51" s="1">
        <v>4</v>
      </c>
      <c r="AI51" s="1" t="s">
        <v>135</v>
      </c>
    </row>
    <row r="52" spans="1:35" ht="12.5" hidden="1" x14ac:dyDescent="0.25">
      <c r="A52" s="1">
        <v>48</v>
      </c>
      <c r="B52" s="1" t="s">
        <v>269</v>
      </c>
      <c r="C52" s="1" t="s">
        <v>270</v>
      </c>
      <c r="D52" s="1" t="s">
        <v>271</v>
      </c>
      <c r="E52" s="1" t="s">
        <v>62</v>
      </c>
      <c r="F52" s="1" t="s">
        <v>74</v>
      </c>
      <c r="G52" s="1" t="s">
        <v>112</v>
      </c>
      <c r="H52" s="1" t="s">
        <v>41</v>
      </c>
      <c r="I52" s="1" t="s">
        <v>82</v>
      </c>
      <c r="J52" s="1">
        <v>2.2000000000000002</v>
      </c>
      <c r="K52" s="1" t="s">
        <v>272</v>
      </c>
      <c r="L52" s="1" t="s">
        <v>114</v>
      </c>
      <c r="M52" s="1" t="s">
        <v>68</v>
      </c>
      <c r="N52" s="1" t="s">
        <v>46</v>
      </c>
      <c r="O52" s="2">
        <v>45778</v>
      </c>
      <c r="P52" s="2">
        <v>45778</v>
      </c>
      <c r="Q52" s="1" t="b">
        <v>1</v>
      </c>
      <c r="R52" s="1">
        <v>3</v>
      </c>
      <c r="S52" s="1" t="b">
        <v>1</v>
      </c>
      <c r="T52" s="2">
        <v>45780</v>
      </c>
      <c r="U52" s="1" t="b">
        <v>1</v>
      </c>
      <c r="V52" s="2">
        <v>45783</v>
      </c>
      <c r="W52" s="1" t="b">
        <v>1</v>
      </c>
      <c r="X52" s="2">
        <v>45793</v>
      </c>
      <c r="Y52" s="1">
        <v>67</v>
      </c>
      <c r="Z52" s="1">
        <v>69</v>
      </c>
      <c r="AA52" s="1">
        <v>75</v>
      </c>
      <c r="AB52" s="1" t="b">
        <v>0</v>
      </c>
      <c r="AD52" s="1" t="b">
        <v>0</v>
      </c>
      <c r="AF52" s="1" t="s">
        <v>47</v>
      </c>
      <c r="AG52" s="1" t="s">
        <v>152</v>
      </c>
      <c r="AH52" s="1">
        <v>15</v>
      </c>
      <c r="AI52" s="1" t="s">
        <v>157</v>
      </c>
    </row>
    <row r="53" spans="1:35" ht="12.5" hidden="1" x14ac:dyDescent="0.25">
      <c r="A53" s="1">
        <v>49</v>
      </c>
      <c r="B53" s="1" t="s">
        <v>273</v>
      </c>
      <c r="C53" s="1" t="s">
        <v>274</v>
      </c>
      <c r="D53" s="1" t="s">
        <v>275</v>
      </c>
      <c r="E53" s="1" t="s">
        <v>62</v>
      </c>
      <c r="F53" s="1" t="s">
        <v>39</v>
      </c>
      <c r="G53" s="1" t="s">
        <v>97</v>
      </c>
      <c r="H53" s="1" t="s">
        <v>41</v>
      </c>
      <c r="I53" s="1" t="s">
        <v>42</v>
      </c>
      <c r="J53" s="1">
        <v>9.6</v>
      </c>
      <c r="K53" s="1" t="s">
        <v>67</v>
      </c>
      <c r="L53" s="1" t="s">
        <v>44</v>
      </c>
      <c r="M53" s="1" t="s">
        <v>45</v>
      </c>
      <c r="N53" s="1" t="s">
        <v>84</v>
      </c>
      <c r="O53" s="2">
        <v>45704</v>
      </c>
      <c r="P53" s="2">
        <v>45706</v>
      </c>
      <c r="Q53" s="1" t="b">
        <v>1</v>
      </c>
      <c r="R53" s="1">
        <v>4</v>
      </c>
      <c r="S53" s="1" t="b">
        <v>1</v>
      </c>
      <c r="T53" s="2">
        <v>45708</v>
      </c>
      <c r="U53" s="1" t="b">
        <v>1</v>
      </c>
      <c r="V53" s="2">
        <v>45712</v>
      </c>
      <c r="W53" s="1" t="b">
        <v>1</v>
      </c>
      <c r="X53" s="2">
        <v>45714</v>
      </c>
      <c r="Y53" s="1">
        <v>89</v>
      </c>
      <c r="Z53" s="1">
        <v>62</v>
      </c>
      <c r="AA53" s="1">
        <v>71</v>
      </c>
      <c r="AB53" s="1" t="b">
        <v>0</v>
      </c>
      <c r="AD53" s="1" t="b">
        <v>0</v>
      </c>
      <c r="AF53" s="1" t="s">
        <v>47</v>
      </c>
      <c r="AH53" s="1">
        <v>10</v>
      </c>
      <c r="AI53" s="1" t="s">
        <v>135</v>
      </c>
    </row>
    <row r="54" spans="1:35" ht="12.5" x14ac:dyDescent="0.25">
      <c r="A54" s="1">
        <v>50</v>
      </c>
      <c r="B54" s="1" t="s">
        <v>276</v>
      </c>
      <c r="C54" s="1" t="s">
        <v>277</v>
      </c>
      <c r="D54" s="1" t="s">
        <v>278</v>
      </c>
      <c r="E54" s="1" t="s">
        <v>102</v>
      </c>
      <c r="F54" s="1" t="s">
        <v>111</v>
      </c>
      <c r="G54" s="1" t="s">
        <v>97</v>
      </c>
      <c r="H54" s="1" t="s">
        <v>88</v>
      </c>
      <c r="I54" s="1" t="s">
        <v>53</v>
      </c>
      <c r="J54" s="1">
        <v>4</v>
      </c>
      <c r="K54" s="1" t="s">
        <v>279</v>
      </c>
      <c r="L54" s="1" t="s">
        <v>141</v>
      </c>
      <c r="M54" s="1" t="s">
        <v>56</v>
      </c>
      <c r="N54" s="1" t="s">
        <v>84</v>
      </c>
      <c r="O54" s="2">
        <v>45805</v>
      </c>
      <c r="P54" s="2">
        <v>45805</v>
      </c>
      <c r="Q54" s="1" t="b">
        <v>0</v>
      </c>
      <c r="S54" s="1" t="b">
        <v>0</v>
      </c>
      <c r="U54" s="1" t="b">
        <v>0</v>
      </c>
      <c r="W54" s="1" t="b">
        <v>0</v>
      </c>
      <c r="Y54" s="1">
        <v>89</v>
      </c>
      <c r="Z54" s="1">
        <v>69</v>
      </c>
      <c r="AA54" s="1">
        <v>94</v>
      </c>
      <c r="AB54" s="1" t="b">
        <v>0</v>
      </c>
      <c r="AD54" s="1" t="b">
        <v>0</v>
      </c>
      <c r="AF54" s="1" t="s">
        <v>77</v>
      </c>
      <c r="AG54" s="1" t="s">
        <v>69</v>
      </c>
      <c r="AH54" s="1">
        <v>0</v>
      </c>
      <c r="AI54" s="1" t="s">
        <v>58</v>
      </c>
    </row>
    <row r="55" spans="1:35" ht="12.5" hidden="1" x14ac:dyDescent="0.25">
      <c r="A55" s="1">
        <v>51</v>
      </c>
      <c r="B55" s="1" t="s">
        <v>280</v>
      </c>
      <c r="C55" s="1" t="s">
        <v>281</v>
      </c>
      <c r="D55" s="1" t="s">
        <v>282</v>
      </c>
      <c r="E55" s="1" t="s">
        <v>102</v>
      </c>
      <c r="F55" s="1" t="s">
        <v>63</v>
      </c>
      <c r="G55" s="1" t="s">
        <v>64</v>
      </c>
      <c r="H55" s="1" t="s">
        <v>88</v>
      </c>
      <c r="I55" s="1" t="s">
        <v>42</v>
      </c>
      <c r="J55" s="1">
        <v>7.2</v>
      </c>
      <c r="K55" s="1" t="s">
        <v>283</v>
      </c>
      <c r="L55" s="1" t="s">
        <v>141</v>
      </c>
      <c r="M55" s="1" t="s">
        <v>56</v>
      </c>
      <c r="N55" s="1" t="s">
        <v>92</v>
      </c>
      <c r="O55" s="2">
        <v>45739</v>
      </c>
      <c r="P55" s="2">
        <v>45739</v>
      </c>
      <c r="Q55" s="1" t="b">
        <v>1</v>
      </c>
      <c r="R55" s="1">
        <v>2</v>
      </c>
      <c r="S55" s="1" t="b">
        <v>0</v>
      </c>
      <c r="U55" s="1" t="b">
        <v>0</v>
      </c>
      <c r="W55" s="1" t="b">
        <v>0</v>
      </c>
      <c r="Y55" s="1">
        <v>67</v>
      </c>
      <c r="Z55" s="1">
        <v>70</v>
      </c>
      <c r="AA55" s="1">
        <v>75</v>
      </c>
      <c r="AB55" s="1" t="b">
        <v>0</v>
      </c>
      <c r="AD55" s="1" t="b">
        <v>0</v>
      </c>
      <c r="AF55" s="1" t="s">
        <v>57</v>
      </c>
      <c r="AG55" s="1" t="s">
        <v>152</v>
      </c>
      <c r="AH55" s="1">
        <v>0</v>
      </c>
      <c r="AI55" s="1" t="s">
        <v>70</v>
      </c>
    </row>
    <row r="56" spans="1:35" ht="12.5" hidden="1" x14ac:dyDescent="0.25">
      <c r="A56" s="1">
        <v>52</v>
      </c>
      <c r="B56" s="1" t="s">
        <v>284</v>
      </c>
      <c r="C56" s="1" t="s">
        <v>285</v>
      </c>
      <c r="D56" s="1" t="s">
        <v>61</v>
      </c>
      <c r="E56" s="1" t="s">
        <v>52</v>
      </c>
      <c r="F56" s="1" t="s">
        <v>74</v>
      </c>
      <c r="G56" s="1" t="s">
        <v>112</v>
      </c>
      <c r="H56" s="1" t="s">
        <v>65</v>
      </c>
      <c r="I56" s="1" t="s">
        <v>82</v>
      </c>
      <c r="J56" s="1">
        <v>3.4</v>
      </c>
      <c r="K56" s="1" t="s">
        <v>286</v>
      </c>
      <c r="L56" s="1" t="s">
        <v>55</v>
      </c>
      <c r="M56" s="1" t="s">
        <v>123</v>
      </c>
      <c r="N56" s="1" t="s">
        <v>92</v>
      </c>
      <c r="O56" s="2">
        <v>45730</v>
      </c>
      <c r="P56" s="2">
        <v>45733</v>
      </c>
      <c r="Q56" s="1" t="b">
        <v>1</v>
      </c>
      <c r="R56" s="1">
        <v>4</v>
      </c>
      <c r="S56" s="1" t="b">
        <v>1</v>
      </c>
      <c r="T56" s="2">
        <v>45736</v>
      </c>
      <c r="U56" s="1" t="b">
        <v>0</v>
      </c>
      <c r="W56" s="1" t="b">
        <v>0</v>
      </c>
      <c r="Y56" s="1">
        <v>88</v>
      </c>
      <c r="Z56" s="1">
        <v>79</v>
      </c>
      <c r="AA56" s="1">
        <v>90</v>
      </c>
      <c r="AB56" s="1" t="b">
        <v>0</v>
      </c>
      <c r="AD56" s="1" t="b">
        <v>0</v>
      </c>
      <c r="AF56" s="1" t="s">
        <v>151</v>
      </c>
      <c r="AG56" s="1" t="s">
        <v>287</v>
      </c>
      <c r="AH56" s="1">
        <v>6</v>
      </c>
      <c r="AI56" s="1" t="s">
        <v>118</v>
      </c>
    </row>
    <row r="57" spans="1:35" ht="12.5" x14ac:dyDescent="0.25">
      <c r="A57" s="1">
        <v>53</v>
      </c>
      <c r="B57" s="1" t="s">
        <v>288</v>
      </c>
      <c r="C57" s="1" t="s">
        <v>289</v>
      </c>
      <c r="D57" s="1" t="s">
        <v>121</v>
      </c>
      <c r="E57" s="1" t="s">
        <v>38</v>
      </c>
      <c r="F57" s="1" t="s">
        <v>74</v>
      </c>
      <c r="G57" s="1" t="s">
        <v>97</v>
      </c>
      <c r="H57" s="1" t="s">
        <v>65</v>
      </c>
      <c r="I57" s="1" t="s">
        <v>82</v>
      </c>
      <c r="J57" s="1">
        <v>1.3</v>
      </c>
      <c r="K57" s="1" t="s">
        <v>290</v>
      </c>
      <c r="L57" s="1" t="s">
        <v>44</v>
      </c>
      <c r="M57" s="1" t="s">
        <v>56</v>
      </c>
      <c r="N57" s="1" t="s">
        <v>84</v>
      </c>
      <c r="O57" s="2">
        <v>45742</v>
      </c>
      <c r="P57" s="2">
        <v>45746</v>
      </c>
      <c r="Q57" s="1" t="b">
        <v>0</v>
      </c>
      <c r="S57" s="1" t="b">
        <v>0</v>
      </c>
      <c r="U57" s="1" t="b">
        <v>0</v>
      </c>
      <c r="W57" s="1" t="b">
        <v>0</v>
      </c>
      <c r="Y57" s="1">
        <v>83</v>
      </c>
      <c r="Z57" s="1">
        <v>63</v>
      </c>
      <c r="AA57" s="1">
        <v>69</v>
      </c>
      <c r="AB57" s="1" t="b">
        <v>0</v>
      </c>
      <c r="AD57" s="1" t="b">
        <v>0</v>
      </c>
      <c r="AF57" s="1" t="s">
        <v>77</v>
      </c>
      <c r="AG57" s="1" t="s">
        <v>69</v>
      </c>
      <c r="AH57" s="1">
        <v>4</v>
      </c>
      <c r="AI57" s="1" t="s">
        <v>118</v>
      </c>
    </row>
    <row r="58" spans="1:35" ht="12.5" hidden="1" x14ac:dyDescent="0.25">
      <c r="A58" s="1">
        <v>54</v>
      </c>
      <c r="B58" s="1" t="s">
        <v>291</v>
      </c>
      <c r="C58" s="1" t="s">
        <v>292</v>
      </c>
      <c r="D58" s="1" t="s">
        <v>293</v>
      </c>
      <c r="E58" s="1" t="s">
        <v>102</v>
      </c>
      <c r="F58" s="1" t="s">
        <v>111</v>
      </c>
      <c r="G58" s="1" t="s">
        <v>64</v>
      </c>
      <c r="H58" s="1" t="s">
        <v>88</v>
      </c>
      <c r="I58" s="1" t="s">
        <v>42</v>
      </c>
      <c r="J58" s="1">
        <v>6.9</v>
      </c>
      <c r="K58" s="1" t="s">
        <v>294</v>
      </c>
      <c r="L58" s="1" t="s">
        <v>67</v>
      </c>
      <c r="M58" s="1" t="s">
        <v>146</v>
      </c>
      <c r="N58" s="1" t="s">
        <v>46</v>
      </c>
      <c r="O58" s="2">
        <v>45776</v>
      </c>
      <c r="P58" s="2">
        <v>45783</v>
      </c>
      <c r="Q58" s="1" t="b">
        <v>1</v>
      </c>
      <c r="R58" s="1">
        <v>1</v>
      </c>
      <c r="S58" s="1" t="b">
        <v>1</v>
      </c>
      <c r="T58" s="2">
        <v>45785</v>
      </c>
      <c r="U58" s="1" t="b">
        <v>1</v>
      </c>
      <c r="V58" s="2">
        <v>45795</v>
      </c>
      <c r="W58" s="1" t="b">
        <v>1</v>
      </c>
      <c r="X58" s="2">
        <v>45804</v>
      </c>
      <c r="Y58" s="1">
        <v>70</v>
      </c>
      <c r="Z58" s="1">
        <v>87</v>
      </c>
      <c r="AA58" s="1">
        <v>78</v>
      </c>
      <c r="AB58" s="1" t="b">
        <v>0</v>
      </c>
      <c r="AD58" s="1" t="b">
        <v>0</v>
      </c>
      <c r="AF58" s="1" t="s">
        <v>47</v>
      </c>
      <c r="AH58" s="1">
        <v>28</v>
      </c>
      <c r="AI58" s="1" t="s">
        <v>48</v>
      </c>
    </row>
    <row r="59" spans="1:35" ht="12.5" hidden="1" x14ac:dyDescent="0.25">
      <c r="A59" s="1">
        <v>55</v>
      </c>
      <c r="B59" s="1" t="s">
        <v>295</v>
      </c>
      <c r="C59" s="1" t="s">
        <v>296</v>
      </c>
      <c r="D59" s="1" t="s">
        <v>297</v>
      </c>
      <c r="E59" s="1" t="s">
        <v>52</v>
      </c>
      <c r="F59" s="1" t="s">
        <v>63</v>
      </c>
      <c r="G59" s="1" t="s">
        <v>97</v>
      </c>
      <c r="H59" s="1" t="s">
        <v>65</v>
      </c>
      <c r="I59" s="1" t="s">
        <v>42</v>
      </c>
      <c r="J59" s="1">
        <v>8.9</v>
      </c>
      <c r="K59" s="1" t="s">
        <v>298</v>
      </c>
      <c r="L59" s="1" t="s">
        <v>44</v>
      </c>
      <c r="M59" s="1" t="s">
        <v>91</v>
      </c>
      <c r="N59" s="1" t="s">
        <v>84</v>
      </c>
      <c r="O59" s="2">
        <v>45737</v>
      </c>
      <c r="P59" s="2">
        <v>45739</v>
      </c>
      <c r="Q59" s="1" t="b">
        <v>1</v>
      </c>
      <c r="R59" s="1">
        <v>0</v>
      </c>
      <c r="S59" s="1" t="b">
        <v>1</v>
      </c>
      <c r="T59" s="2">
        <v>45746</v>
      </c>
      <c r="U59" s="1" t="b">
        <v>0</v>
      </c>
      <c r="W59" s="1" t="b">
        <v>0</v>
      </c>
      <c r="Y59" s="1">
        <v>76</v>
      </c>
      <c r="Z59" s="1">
        <v>98</v>
      </c>
      <c r="AA59" s="1">
        <v>71</v>
      </c>
      <c r="AB59" s="1" t="b">
        <v>0</v>
      </c>
      <c r="AD59" s="1" t="b">
        <v>0</v>
      </c>
      <c r="AF59" s="1" t="s">
        <v>151</v>
      </c>
      <c r="AG59" s="1" t="s">
        <v>124</v>
      </c>
      <c r="AH59" s="1">
        <v>9</v>
      </c>
      <c r="AI59" s="1" t="s">
        <v>165</v>
      </c>
    </row>
    <row r="60" spans="1:35" ht="12.5" hidden="1" x14ac:dyDescent="0.25">
      <c r="A60" s="1">
        <v>56</v>
      </c>
      <c r="B60" s="1" t="s">
        <v>299</v>
      </c>
      <c r="C60" s="1" t="s">
        <v>300</v>
      </c>
      <c r="D60" s="1" t="s">
        <v>301</v>
      </c>
      <c r="E60" s="1" t="s">
        <v>102</v>
      </c>
      <c r="F60" s="1" t="s">
        <v>74</v>
      </c>
      <c r="G60" s="1" t="s">
        <v>75</v>
      </c>
      <c r="H60" s="1" t="s">
        <v>65</v>
      </c>
      <c r="I60" s="1" t="s">
        <v>42</v>
      </c>
      <c r="J60" s="1">
        <v>9.4</v>
      </c>
      <c r="K60" s="1" t="s">
        <v>302</v>
      </c>
      <c r="L60" s="1" t="s">
        <v>90</v>
      </c>
      <c r="M60" s="1" t="s">
        <v>146</v>
      </c>
      <c r="N60" s="1" t="s">
        <v>84</v>
      </c>
      <c r="O60" s="2">
        <v>45745</v>
      </c>
      <c r="P60" s="2">
        <v>45745</v>
      </c>
      <c r="Q60" s="1" t="b">
        <v>1</v>
      </c>
      <c r="R60" s="1">
        <v>6</v>
      </c>
      <c r="S60" s="1" t="b">
        <v>1</v>
      </c>
      <c r="T60" s="2">
        <v>45746</v>
      </c>
      <c r="U60" s="1" t="b">
        <v>1</v>
      </c>
      <c r="V60" s="2">
        <v>45753</v>
      </c>
      <c r="W60" s="1" t="b">
        <v>1</v>
      </c>
      <c r="X60" s="2">
        <v>45758</v>
      </c>
      <c r="Y60" s="1">
        <v>75</v>
      </c>
      <c r="Z60" s="1">
        <v>85</v>
      </c>
      <c r="AA60" s="1">
        <v>100</v>
      </c>
      <c r="AB60" s="1" t="b">
        <v>1</v>
      </c>
      <c r="AC60" s="2">
        <v>45761</v>
      </c>
      <c r="AD60" s="1" t="b">
        <v>1</v>
      </c>
      <c r="AE60" s="2">
        <v>45770</v>
      </c>
      <c r="AF60" s="1" t="s">
        <v>134</v>
      </c>
      <c r="AH60" s="1">
        <v>25</v>
      </c>
      <c r="AI60" s="1" t="s">
        <v>215</v>
      </c>
    </row>
    <row r="61" spans="1:35" ht="12.5" hidden="1" x14ac:dyDescent="0.25">
      <c r="A61" s="1">
        <v>57</v>
      </c>
      <c r="B61" s="1" t="s">
        <v>303</v>
      </c>
      <c r="C61" s="1" t="s">
        <v>304</v>
      </c>
      <c r="D61" s="1" t="s">
        <v>305</v>
      </c>
      <c r="E61" s="1" t="s">
        <v>38</v>
      </c>
      <c r="F61" s="1" t="s">
        <v>39</v>
      </c>
      <c r="G61" s="1" t="s">
        <v>64</v>
      </c>
      <c r="H61" s="1" t="s">
        <v>41</v>
      </c>
      <c r="I61" s="1" t="s">
        <v>53</v>
      </c>
      <c r="J61" s="1">
        <v>5.2</v>
      </c>
      <c r="K61" s="1" t="s">
        <v>306</v>
      </c>
      <c r="L61" s="1" t="s">
        <v>55</v>
      </c>
      <c r="M61" s="1" t="s">
        <v>123</v>
      </c>
      <c r="N61" s="1" t="s">
        <v>46</v>
      </c>
      <c r="O61" s="2">
        <v>45673</v>
      </c>
      <c r="P61" s="2">
        <v>45678</v>
      </c>
      <c r="Q61" s="1" t="b">
        <v>1</v>
      </c>
      <c r="R61" s="1">
        <v>6</v>
      </c>
      <c r="S61" s="1" t="b">
        <v>1</v>
      </c>
      <c r="T61" s="2">
        <v>45685</v>
      </c>
      <c r="U61" s="1" t="b">
        <v>1</v>
      </c>
      <c r="V61" s="2">
        <v>45697</v>
      </c>
      <c r="W61" s="1" t="b">
        <v>0</v>
      </c>
      <c r="Y61" s="1">
        <v>77</v>
      </c>
      <c r="Z61" s="1">
        <v>63</v>
      </c>
      <c r="AA61" s="1">
        <v>66</v>
      </c>
      <c r="AB61" s="1" t="b">
        <v>0</v>
      </c>
      <c r="AD61" s="1" t="b">
        <v>0</v>
      </c>
      <c r="AF61" s="1" t="s">
        <v>105</v>
      </c>
      <c r="AH61" s="1">
        <v>24</v>
      </c>
      <c r="AI61" s="1" t="s">
        <v>48</v>
      </c>
    </row>
    <row r="62" spans="1:35" ht="12.5" hidden="1" x14ac:dyDescent="0.25">
      <c r="A62" s="1">
        <v>58</v>
      </c>
      <c r="B62" s="1" t="s">
        <v>307</v>
      </c>
      <c r="C62" s="1" t="s">
        <v>308</v>
      </c>
      <c r="D62" s="1" t="s">
        <v>271</v>
      </c>
      <c r="E62" s="1" t="s">
        <v>38</v>
      </c>
      <c r="F62" s="1" t="s">
        <v>111</v>
      </c>
      <c r="G62" s="1" t="s">
        <v>139</v>
      </c>
      <c r="H62" s="1" t="s">
        <v>65</v>
      </c>
      <c r="I62" s="1" t="s">
        <v>42</v>
      </c>
      <c r="J62" s="1">
        <v>6.8</v>
      </c>
      <c r="K62" s="1" t="s">
        <v>54</v>
      </c>
      <c r="L62" s="1" t="s">
        <v>67</v>
      </c>
      <c r="M62" s="1" t="s">
        <v>56</v>
      </c>
      <c r="N62" s="1" t="s">
        <v>46</v>
      </c>
      <c r="O62" s="2">
        <v>45808</v>
      </c>
      <c r="P62" s="2">
        <v>45812</v>
      </c>
      <c r="Q62" s="1" t="b">
        <v>1</v>
      </c>
      <c r="R62" s="1">
        <v>9</v>
      </c>
      <c r="S62" s="1" t="b">
        <v>1</v>
      </c>
      <c r="T62" s="2">
        <v>45814</v>
      </c>
      <c r="U62" s="1" t="b">
        <v>0</v>
      </c>
      <c r="W62" s="1" t="b">
        <v>0</v>
      </c>
      <c r="Y62" s="1">
        <v>55</v>
      </c>
      <c r="Z62" s="1">
        <v>86</v>
      </c>
      <c r="AA62" s="1">
        <v>71</v>
      </c>
      <c r="AB62" s="1" t="b">
        <v>0</v>
      </c>
      <c r="AD62" s="1" t="b">
        <v>0</v>
      </c>
      <c r="AF62" s="1" t="s">
        <v>151</v>
      </c>
      <c r="AG62" s="1" t="s">
        <v>176</v>
      </c>
      <c r="AH62" s="1">
        <v>6</v>
      </c>
      <c r="AI62" s="1" t="s">
        <v>78</v>
      </c>
    </row>
    <row r="63" spans="1:35" ht="12.5" x14ac:dyDescent="0.25">
      <c r="A63" s="1">
        <v>59</v>
      </c>
      <c r="B63" s="1" t="s">
        <v>309</v>
      </c>
      <c r="C63" s="1" t="s">
        <v>310</v>
      </c>
      <c r="D63" s="1" t="s">
        <v>311</v>
      </c>
      <c r="E63" s="1" t="s">
        <v>62</v>
      </c>
      <c r="F63" s="1" t="s">
        <v>63</v>
      </c>
      <c r="G63" s="1" t="s">
        <v>40</v>
      </c>
      <c r="H63" s="1" t="s">
        <v>88</v>
      </c>
      <c r="I63" s="1" t="s">
        <v>42</v>
      </c>
      <c r="J63" s="1">
        <v>6.1</v>
      </c>
      <c r="K63" s="1" t="s">
        <v>312</v>
      </c>
      <c r="L63" s="1" t="s">
        <v>44</v>
      </c>
      <c r="M63" s="1" t="s">
        <v>123</v>
      </c>
      <c r="N63" s="1" t="s">
        <v>46</v>
      </c>
      <c r="O63" s="2">
        <v>45801</v>
      </c>
      <c r="P63" s="2">
        <v>45809</v>
      </c>
      <c r="Q63" s="1" t="b">
        <v>0</v>
      </c>
      <c r="S63" s="1" t="b">
        <v>0</v>
      </c>
      <c r="U63" s="1" t="b">
        <v>0</v>
      </c>
      <c r="W63" s="1" t="b">
        <v>0</v>
      </c>
      <c r="Y63" s="1">
        <v>80</v>
      </c>
      <c r="Z63" s="1">
        <v>78</v>
      </c>
      <c r="AA63" s="1">
        <v>74</v>
      </c>
      <c r="AB63" s="1" t="b">
        <v>0</v>
      </c>
      <c r="AD63" s="1" t="b">
        <v>0</v>
      </c>
      <c r="AF63" s="1" t="s">
        <v>77</v>
      </c>
      <c r="AG63" s="1" t="s">
        <v>69</v>
      </c>
      <c r="AH63" s="1">
        <v>8</v>
      </c>
      <c r="AI63" s="1" t="s">
        <v>215</v>
      </c>
    </row>
    <row r="64" spans="1:35" ht="12.5" hidden="1" x14ac:dyDescent="0.25">
      <c r="A64" s="1">
        <v>60</v>
      </c>
      <c r="B64" s="1" t="s">
        <v>313</v>
      </c>
      <c r="C64" s="1" t="s">
        <v>314</v>
      </c>
      <c r="D64" s="1" t="s">
        <v>73</v>
      </c>
      <c r="E64" s="1" t="s">
        <v>102</v>
      </c>
      <c r="F64" s="1" t="s">
        <v>39</v>
      </c>
      <c r="G64" s="1" t="s">
        <v>139</v>
      </c>
      <c r="H64" s="1" t="s">
        <v>88</v>
      </c>
      <c r="I64" s="1" t="s">
        <v>82</v>
      </c>
      <c r="J64" s="1">
        <v>2.8</v>
      </c>
      <c r="K64" s="1" t="s">
        <v>315</v>
      </c>
      <c r="L64" s="1" t="s">
        <v>114</v>
      </c>
      <c r="M64" s="1" t="s">
        <v>129</v>
      </c>
      <c r="N64" s="1" t="s">
        <v>92</v>
      </c>
      <c r="O64" s="2">
        <v>45722</v>
      </c>
      <c r="P64" s="2">
        <v>45724</v>
      </c>
      <c r="Q64" s="1" t="b">
        <v>1</v>
      </c>
      <c r="R64" s="1">
        <v>3</v>
      </c>
      <c r="S64" s="1" t="b">
        <v>1</v>
      </c>
      <c r="T64" s="2">
        <v>45725</v>
      </c>
      <c r="U64" s="1" t="b">
        <v>1</v>
      </c>
      <c r="V64" s="2">
        <v>45736</v>
      </c>
      <c r="W64" s="1" t="b">
        <v>1</v>
      </c>
      <c r="X64" s="2">
        <v>45739</v>
      </c>
      <c r="Y64" s="1">
        <v>100</v>
      </c>
      <c r="Z64" s="1">
        <v>85</v>
      </c>
      <c r="AA64" s="1">
        <v>100</v>
      </c>
      <c r="AB64" s="1" t="b">
        <v>1</v>
      </c>
      <c r="AC64" s="2">
        <v>45746</v>
      </c>
      <c r="AD64" s="1" t="b">
        <v>0</v>
      </c>
      <c r="AF64" s="1" t="s">
        <v>316</v>
      </c>
      <c r="AH64" s="1">
        <v>24</v>
      </c>
      <c r="AI64" s="1" t="s">
        <v>215</v>
      </c>
    </row>
    <row r="65" spans="1:35" ht="12.5" x14ac:dyDescent="0.25">
      <c r="A65" s="1">
        <v>61</v>
      </c>
      <c r="B65" s="1" t="s">
        <v>317</v>
      </c>
      <c r="C65" s="1" t="s">
        <v>318</v>
      </c>
      <c r="D65" s="1" t="s">
        <v>271</v>
      </c>
      <c r="E65" s="1" t="s">
        <v>62</v>
      </c>
      <c r="F65" s="1" t="s">
        <v>111</v>
      </c>
      <c r="G65" s="1" t="s">
        <v>97</v>
      </c>
      <c r="H65" s="1" t="s">
        <v>88</v>
      </c>
      <c r="I65" s="1" t="s">
        <v>53</v>
      </c>
      <c r="J65" s="1">
        <v>4.3</v>
      </c>
      <c r="K65" s="1" t="s">
        <v>319</v>
      </c>
      <c r="L65" s="1" t="s">
        <v>44</v>
      </c>
      <c r="M65" s="1" t="s">
        <v>146</v>
      </c>
      <c r="N65" s="1" t="s">
        <v>92</v>
      </c>
      <c r="O65" s="2">
        <v>45675</v>
      </c>
      <c r="P65" s="2">
        <v>45676</v>
      </c>
      <c r="Q65" s="1" t="b">
        <v>0</v>
      </c>
      <c r="S65" s="1" t="b">
        <v>0</v>
      </c>
      <c r="U65" s="1" t="b">
        <v>0</v>
      </c>
      <c r="W65" s="1" t="b">
        <v>0</v>
      </c>
      <c r="Y65" s="1">
        <v>90</v>
      </c>
      <c r="Z65" s="1">
        <v>76</v>
      </c>
      <c r="AA65" s="1">
        <v>89</v>
      </c>
      <c r="AB65" s="1" t="b">
        <v>0</v>
      </c>
      <c r="AD65" s="1" t="b">
        <v>0</v>
      </c>
      <c r="AF65" s="1" t="s">
        <v>77</v>
      </c>
      <c r="AG65" s="1" t="s">
        <v>69</v>
      </c>
      <c r="AH65" s="1">
        <v>1</v>
      </c>
      <c r="AI65" s="1" t="s">
        <v>215</v>
      </c>
    </row>
    <row r="66" spans="1:35" ht="12.5" x14ac:dyDescent="0.25">
      <c r="A66" s="1">
        <v>62</v>
      </c>
      <c r="B66" s="1" t="s">
        <v>320</v>
      </c>
      <c r="C66" s="1" t="s">
        <v>321</v>
      </c>
      <c r="D66" s="1" t="s">
        <v>322</v>
      </c>
      <c r="E66" s="1" t="s">
        <v>38</v>
      </c>
      <c r="F66" s="1" t="s">
        <v>74</v>
      </c>
      <c r="G66" s="1" t="s">
        <v>75</v>
      </c>
      <c r="H66" s="1" t="s">
        <v>41</v>
      </c>
      <c r="I66" s="1" t="s">
        <v>42</v>
      </c>
      <c r="J66" s="1">
        <v>10.4</v>
      </c>
      <c r="K66" s="1" t="s">
        <v>323</v>
      </c>
      <c r="L66" s="1" t="s">
        <v>141</v>
      </c>
      <c r="M66" s="1" t="s">
        <v>56</v>
      </c>
      <c r="N66" s="1" t="s">
        <v>92</v>
      </c>
      <c r="O66" s="2">
        <v>45736</v>
      </c>
      <c r="P66" s="2">
        <v>45739</v>
      </c>
      <c r="Q66" s="1" t="b">
        <v>0</v>
      </c>
      <c r="S66" s="1" t="b">
        <v>0</v>
      </c>
      <c r="U66" s="1" t="b">
        <v>0</v>
      </c>
      <c r="W66" s="1" t="b">
        <v>0</v>
      </c>
      <c r="Y66" s="1">
        <v>80</v>
      </c>
      <c r="Z66" s="1">
        <v>89</v>
      </c>
      <c r="AA66" s="1">
        <v>76</v>
      </c>
      <c r="AB66" s="1" t="b">
        <v>0</v>
      </c>
      <c r="AD66" s="1" t="b">
        <v>0</v>
      </c>
      <c r="AF66" s="1" t="s">
        <v>77</v>
      </c>
      <c r="AG66" s="1" t="s">
        <v>69</v>
      </c>
      <c r="AH66" s="1">
        <v>3</v>
      </c>
      <c r="AI66" s="1" t="s">
        <v>48</v>
      </c>
    </row>
    <row r="67" spans="1:35" ht="12.5" x14ac:dyDescent="0.25">
      <c r="A67" s="1">
        <v>63</v>
      </c>
      <c r="B67" s="1" t="s">
        <v>324</v>
      </c>
      <c r="C67" s="1" t="s">
        <v>325</v>
      </c>
      <c r="D67" s="1" t="s">
        <v>326</v>
      </c>
      <c r="E67" s="1" t="s">
        <v>52</v>
      </c>
      <c r="F67" s="1" t="s">
        <v>63</v>
      </c>
      <c r="G67" s="1" t="s">
        <v>64</v>
      </c>
      <c r="H67" s="1" t="s">
        <v>41</v>
      </c>
      <c r="I67" s="1" t="s">
        <v>53</v>
      </c>
      <c r="J67" s="1">
        <v>4</v>
      </c>
      <c r="K67" s="1" t="s">
        <v>55</v>
      </c>
      <c r="L67" s="1" t="s">
        <v>67</v>
      </c>
      <c r="M67" s="1" t="s">
        <v>115</v>
      </c>
      <c r="N67" s="1" t="s">
        <v>116</v>
      </c>
      <c r="O67" s="2">
        <v>45747</v>
      </c>
      <c r="P67" s="2">
        <v>45751</v>
      </c>
      <c r="Q67" s="1" t="b">
        <v>0</v>
      </c>
      <c r="S67" s="1" t="b">
        <v>0</v>
      </c>
      <c r="U67" s="1" t="b">
        <v>0</v>
      </c>
      <c r="W67" s="1" t="b">
        <v>0</v>
      </c>
      <c r="Y67" s="1">
        <v>67</v>
      </c>
      <c r="Z67" s="1">
        <v>66</v>
      </c>
      <c r="AA67" s="1">
        <v>69</v>
      </c>
      <c r="AB67" s="1" t="b">
        <v>0</v>
      </c>
      <c r="AD67" s="1" t="b">
        <v>0</v>
      </c>
      <c r="AF67" s="1" t="s">
        <v>77</v>
      </c>
      <c r="AG67" s="1" t="s">
        <v>69</v>
      </c>
      <c r="AH67" s="1">
        <v>4</v>
      </c>
      <c r="AI67" s="1" t="s">
        <v>58</v>
      </c>
    </row>
    <row r="68" spans="1:35" ht="12.5" hidden="1" x14ac:dyDescent="0.25">
      <c r="A68" s="1">
        <v>64</v>
      </c>
      <c r="B68" s="1" t="s">
        <v>327</v>
      </c>
      <c r="C68" s="1" t="s">
        <v>328</v>
      </c>
      <c r="D68" s="1" t="s">
        <v>329</v>
      </c>
      <c r="E68" s="1" t="s">
        <v>102</v>
      </c>
      <c r="F68" s="1" t="s">
        <v>63</v>
      </c>
      <c r="G68" s="1" t="s">
        <v>139</v>
      </c>
      <c r="H68" s="1" t="s">
        <v>65</v>
      </c>
      <c r="I68" s="1" t="s">
        <v>42</v>
      </c>
      <c r="J68" s="1">
        <v>7.6</v>
      </c>
      <c r="K68" s="1" t="s">
        <v>83</v>
      </c>
      <c r="L68" s="1" t="s">
        <v>141</v>
      </c>
      <c r="M68" s="1" t="s">
        <v>68</v>
      </c>
      <c r="N68" s="1" t="s">
        <v>84</v>
      </c>
      <c r="O68" s="2">
        <v>45684</v>
      </c>
      <c r="P68" s="2">
        <v>45689</v>
      </c>
      <c r="Q68" s="1" t="b">
        <v>1</v>
      </c>
      <c r="R68" s="1">
        <v>0</v>
      </c>
      <c r="S68" s="1" t="b">
        <v>1</v>
      </c>
      <c r="T68" s="2">
        <v>45692</v>
      </c>
      <c r="U68" s="1" t="b">
        <v>1</v>
      </c>
      <c r="V68" s="2">
        <v>45705</v>
      </c>
      <c r="W68" s="1" t="b">
        <v>1</v>
      </c>
      <c r="X68" s="2">
        <v>45706</v>
      </c>
      <c r="Y68" s="1">
        <v>55</v>
      </c>
      <c r="Z68" s="1">
        <v>59</v>
      </c>
      <c r="AA68" s="1">
        <v>49</v>
      </c>
      <c r="AB68" s="1" t="b">
        <v>0</v>
      </c>
      <c r="AD68" s="1" t="b">
        <v>0</v>
      </c>
      <c r="AF68" s="1" t="s">
        <v>47</v>
      </c>
      <c r="AH68" s="1">
        <v>22</v>
      </c>
      <c r="AI68" s="1" t="s">
        <v>135</v>
      </c>
    </row>
    <row r="69" spans="1:35" ht="12.5" x14ac:dyDescent="0.25">
      <c r="A69" s="1">
        <v>65</v>
      </c>
      <c r="B69" s="1" t="s">
        <v>330</v>
      </c>
      <c r="C69" s="1" t="s">
        <v>331</v>
      </c>
      <c r="D69" s="1" t="s">
        <v>101</v>
      </c>
      <c r="E69" s="1" t="s">
        <v>52</v>
      </c>
      <c r="F69" s="1" t="s">
        <v>63</v>
      </c>
      <c r="G69" s="1" t="s">
        <v>40</v>
      </c>
      <c r="H69" s="1" t="s">
        <v>41</v>
      </c>
      <c r="I69" s="1" t="s">
        <v>53</v>
      </c>
      <c r="J69" s="1">
        <v>3.7</v>
      </c>
      <c r="K69" s="1" t="s">
        <v>332</v>
      </c>
      <c r="L69" s="1" t="s">
        <v>141</v>
      </c>
      <c r="M69" s="1" t="s">
        <v>91</v>
      </c>
      <c r="N69" s="1" t="s">
        <v>92</v>
      </c>
      <c r="O69" s="2">
        <v>45710</v>
      </c>
      <c r="P69" s="2">
        <v>45710</v>
      </c>
      <c r="Q69" s="1" t="b">
        <v>0</v>
      </c>
      <c r="S69" s="1" t="b">
        <v>0</v>
      </c>
      <c r="U69" s="1" t="b">
        <v>0</v>
      </c>
      <c r="W69" s="1" t="b">
        <v>0</v>
      </c>
      <c r="Y69" s="1">
        <v>75</v>
      </c>
      <c r="Z69" s="1">
        <v>75</v>
      </c>
      <c r="AA69" s="1">
        <v>76</v>
      </c>
      <c r="AB69" s="1" t="b">
        <v>0</v>
      </c>
      <c r="AD69" s="1" t="b">
        <v>0</v>
      </c>
      <c r="AF69" s="1" t="s">
        <v>77</v>
      </c>
      <c r="AG69" s="1" t="s">
        <v>69</v>
      </c>
      <c r="AH69" s="1">
        <v>0</v>
      </c>
      <c r="AI69" s="1" t="s">
        <v>78</v>
      </c>
    </row>
    <row r="70" spans="1:35" ht="12.5" hidden="1" x14ac:dyDescent="0.25">
      <c r="A70" s="1">
        <v>66</v>
      </c>
      <c r="B70" s="1" t="s">
        <v>333</v>
      </c>
      <c r="C70" s="1" t="s">
        <v>334</v>
      </c>
      <c r="D70" s="1" t="s">
        <v>335</v>
      </c>
      <c r="E70" s="1" t="s">
        <v>52</v>
      </c>
      <c r="F70" s="1" t="s">
        <v>111</v>
      </c>
      <c r="G70" s="1" t="s">
        <v>139</v>
      </c>
      <c r="H70" s="1" t="s">
        <v>41</v>
      </c>
      <c r="I70" s="1" t="s">
        <v>53</v>
      </c>
      <c r="J70" s="1">
        <v>4.7</v>
      </c>
      <c r="K70" s="1" t="s">
        <v>192</v>
      </c>
      <c r="L70" s="1" t="s">
        <v>44</v>
      </c>
      <c r="M70" s="1" t="s">
        <v>91</v>
      </c>
      <c r="N70" s="1" t="s">
        <v>92</v>
      </c>
      <c r="O70" s="2">
        <v>45706</v>
      </c>
      <c r="P70" s="2">
        <v>45713</v>
      </c>
      <c r="Q70" s="1" t="b">
        <v>1</v>
      </c>
      <c r="R70" s="1">
        <v>8</v>
      </c>
      <c r="S70" s="1" t="b">
        <v>0</v>
      </c>
      <c r="U70" s="1" t="b">
        <v>0</v>
      </c>
      <c r="W70" s="1" t="b">
        <v>0</v>
      </c>
      <c r="Y70" s="1">
        <v>81</v>
      </c>
      <c r="Z70" s="1">
        <v>90</v>
      </c>
      <c r="AA70" s="1">
        <v>92</v>
      </c>
      <c r="AB70" s="1" t="b">
        <v>0</v>
      </c>
      <c r="AD70" s="1" t="b">
        <v>0</v>
      </c>
      <c r="AF70" s="1" t="s">
        <v>57</v>
      </c>
      <c r="AH70" s="1">
        <v>7</v>
      </c>
      <c r="AI70" s="1" t="s">
        <v>58</v>
      </c>
    </row>
    <row r="71" spans="1:35" ht="12.5" x14ac:dyDescent="0.25">
      <c r="A71" s="1">
        <v>67</v>
      </c>
      <c r="B71" s="1" t="s">
        <v>336</v>
      </c>
      <c r="C71" s="1" t="s">
        <v>337</v>
      </c>
      <c r="D71" s="1" t="s">
        <v>338</v>
      </c>
      <c r="E71" s="1" t="s">
        <v>62</v>
      </c>
      <c r="F71" s="1" t="s">
        <v>111</v>
      </c>
      <c r="G71" s="1" t="s">
        <v>75</v>
      </c>
      <c r="H71" s="1" t="s">
        <v>65</v>
      </c>
      <c r="I71" s="1" t="s">
        <v>42</v>
      </c>
      <c r="J71" s="1">
        <v>7.3</v>
      </c>
      <c r="K71" s="1" t="s">
        <v>246</v>
      </c>
      <c r="L71" s="1" t="s">
        <v>44</v>
      </c>
      <c r="M71" s="1" t="s">
        <v>123</v>
      </c>
      <c r="N71" s="1" t="s">
        <v>84</v>
      </c>
      <c r="O71" s="2">
        <v>45727</v>
      </c>
      <c r="P71" s="2">
        <v>45737</v>
      </c>
      <c r="Q71" s="1" t="b">
        <v>0</v>
      </c>
      <c r="S71" s="1" t="b">
        <v>0</v>
      </c>
      <c r="U71" s="1" t="b">
        <v>0</v>
      </c>
      <c r="W71" s="1" t="b">
        <v>0</v>
      </c>
      <c r="Y71" s="1">
        <v>71</v>
      </c>
      <c r="Z71" s="1">
        <v>79</v>
      </c>
      <c r="AA71" s="1">
        <v>86</v>
      </c>
      <c r="AB71" s="1" t="b">
        <v>0</v>
      </c>
      <c r="AD71" s="1" t="b">
        <v>0</v>
      </c>
      <c r="AF71" s="1" t="s">
        <v>77</v>
      </c>
      <c r="AG71" s="1" t="s">
        <v>69</v>
      </c>
      <c r="AH71" s="1">
        <v>10</v>
      </c>
      <c r="AI71" s="1" t="s">
        <v>78</v>
      </c>
    </row>
    <row r="72" spans="1:35" ht="12.5" hidden="1" x14ac:dyDescent="0.25">
      <c r="A72" s="1">
        <v>68</v>
      </c>
      <c r="B72" s="1" t="s">
        <v>339</v>
      </c>
      <c r="C72" s="1" t="s">
        <v>340</v>
      </c>
      <c r="D72" s="1" t="s">
        <v>174</v>
      </c>
      <c r="E72" s="1" t="s">
        <v>62</v>
      </c>
      <c r="F72" s="1" t="s">
        <v>111</v>
      </c>
      <c r="G72" s="1" t="s">
        <v>64</v>
      </c>
      <c r="H72" s="1" t="s">
        <v>65</v>
      </c>
      <c r="I72" s="1" t="s">
        <v>42</v>
      </c>
      <c r="J72" s="1">
        <v>10.1</v>
      </c>
      <c r="K72" s="1" t="s">
        <v>341</v>
      </c>
      <c r="L72" s="1" t="s">
        <v>67</v>
      </c>
      <c r="M72" s="1" t="s">
        <v>146</v>
      </c>
      <c r="N72" s="1" t="s">
        <v>116</v>
      </c>
      <c r="O72" s="2">
        <v>45789</v>
      </c>
      <c r="P72" s="2">
        <v>45789</v>
      </c>
      <c r="Q72" s="1" t="b">
        <v>1</v>
      </c>
      <c r="R72" s="1">
        <v>0</v>
      </c>
      <c r="S72" s="1" t="b">
        <v>1</v>
      </c>
      <c r="T72" s="2">
        <v>45797</v>
      </c>
      <c r="U72" s="1" t="b">
        <v>0</v>
      </c>
      <c r="W72" s="1" t="b">
        <v>0</v>
      </c>
      <c r="Y72" s="1">
        <v>77</v>
      </c>
      <c r="Z72" s="1">
        <v>80</v>
      </c>
      <c r="AA72" s="1">
        <v>78</v>
      </c>
      <c r="AB72" s="1" t="b">
        <v>0</v>
      </c>
      <c r="AD72" s="1" t="b">
        <v>0</v>
      </c>
      <c r="AF72" s="1" t="s">
        <v>151</v>
      </c>
      <c r="AH72" s="1">
        <v>8</v>
      </c>
      <c r="AI72" s="1" t="s">
        <v>215</v>
      </c>
    </row>
    <row r="73" spans="1:35" ht="12.5" x14ac:dyDescent="0.25">
      <c r="A73" s="1">
        <v>69</v>
      </c>
      <c r="B73" s="1" t="s">
        <v>342</v>
      </c>
      <c r="C73" s="1" t="s">
        <v>343</v>
      </c>
      <c r="D73" s="1" t="s">
        <v>344</v>
      </c>
      <c r="E73" s="1" t="s">
        <v>62</v>
      </c>
      <c r="F73" s="1" t="s">
        <v>111</v>
      </c>
      <c r="G73" s="1" t="s">
        <v>40</v>
      </c>
      <c r="H73" s="1" t="s">
        <v>65</v>
      </c>
      <c r="I73" s="1" t="s">
        <v>42</v>
      </c>
      <c r="J73" s="1">
        <v>5</v>
      </c>
      <c r="K73" s="1" t="s">
        <v>345</v>
      </c>
      <c r="L73" s="1" t="s">
        <v>55</v>
      </c>
      <c r="M73" s="1" t="s">
        <v>129</v>
      </c>
      <c r="N73" s="1" t="s">
        <v>46</v>
      </c>
      <c r="O73" s="2">
        <v>45770</v>
      </c>
      <c r="P73" s="2">
        <v>45770</v>
      </c>
      <c r="Q73" s="1" t="b">
        <v>0</v>
      </c>
      <c r="S73" s="1" t="b">
        <v>0</v>
      </c>
      <c r="U73" s="1" t="b">
        <v>0</v>
      </c>
      <c r="W73" s="1" t="b">
        <v>0</v>
      </c>
      <c r="Y73" s="1">
        <v>73</v>
      </c>
      <c r="Z73" s="1">
        <v>90</v>
      </c>
      <c r="AA73" s="1">
        <v>84</v>
      </c>
      <c r="AB73" s="1" t="b">
        <v>0</v>
      </c>
      <c r="AD73" s="1" t="b">
        <v>0</v>
      </c>
      <c r="AF73" s="1" t="s">
        <v>77</v>
      </c>
      <c r="AG73" s="1" t="s">
        <v>69</v>
      </c>
      <c r="AH73" s="1">
        <v>0</v>
      </c>
      <c r="AI73" s="1" t="s">
        <v>165</v>
      </c>
    </row>
    <row r="74" spans="1:35" ht="12.5" hidden="1" x14ac:dyDescent="0.25">
      <c r="A74" s="1">
        <v>70</v>
      </c>
      <c r="B74" s="1" t="s">
        <v>346</v>
      </c>
      <c r="C74" s="1" t="s">
        <v>347</v>
      </c>
      <c r="D74" s="1" t="s">
        <v>348</v>
      </c>
      <c r="E74" s="1" t="s">
        <v>38</v>
      </c>
      <c r="F74" s="1" t="s">
        <v>39</v>
      </c>
      <c r="G74" s="1" t="s">
        <v>64</v>
      </c>
      <c r="H74" s="1" t="s">
        <v>88</v>
      </c>
      <c r="I74" s="1" t="s">
        <v>82</v>
      </c>
      <c r="J74" s="1">
        <v>4.3</v>
      </c>
      <c r="K74" s="1" t="s">
        <v>349</v>
      </c>
      <c r="L74" s="1" t="s">
        <v>90</v>
      </c>
      <c r="M74" s="1" t="s">
        <v>56</v>
      </c>
      <c r="N74" s="1" t="s">
        <v>46</v>
      </c>
      <c r="O74" s="2">
        <v>45659</v>
      </c>
      <c r="P74" s="2">
        <v>45659</v>
      </c>
      <c r="Q74" s="1" t="b">
        <v>1</v>
      </c>
      <c r="R74" s="1">
        <v>5</v>
      </c>
      <c r="S74" s="1" t="b">
        <v>1</v>
      </c>
      <c r="T74" s="2">
        <v>45665</v>
      </c>
      <c r="U74" s="1" t="b">
        <v>0</v>
      </c>
      <c r="W74" s="1" t="b">
        <v>0</v>
      </c>
      <c r="Y74" s="1">
        <v>94</v>
      </c>
      <c r="Z74" s="1">
        <v>62</v>
      </c>
      <c r="AA74" s="1">
        <v>65</v>
      </c>
      <c r="AB74" s="1" t="b">
        <v>0</v>
      </c>
      <c r="AD74" s="1" t="b">
        <v>0</v>
      </c>
      <c r="AF74" s="1" t="s">
        <v>151</v>
      </c>
      <c r="AH74" s="1">
        <v>6</v>
      </c>
      <c r="AI74" s="1" t="s">
        <v>165</v>
      </c>
    </row>
    <row r="75" spans="1:35" ht="12.5" hidden="1" x14ac:dyDescent="0.25">
      <c r="A75" s="1">
        <v>71</v>
      </c>
      <c r="B75" s="1" t="s">
        <v>350</v>
      </c>
      <c r="C75" s="1" t="s">
        <v>351</v>
      </c>
      <c r="D75" s="1" t="s">
        <v>352</v>
      </c>
      <c r="E75" s="1" t="s">
        <v>52</v>
      </c>
      <c r="F75" s="1" t="s">
        <v>39</v>
      </c>
      <c r="G75" s="1" t="s">
        <v>40</v>
      </c>
      <c r="H75" s="1" t="s">
        <v>41</v>
      </c>
      <c r="I75" s="1" t="s">
        <v>53</v>
      </c>
      <c r="J75" s="1">
        <v>2.9</v>
      </c>
      <c r="K75" s="1" t="s">
        <v>353</v>
      </c>
      <c r="L75" s="1" t="s">
        <v>55</v>
      </c>
      <c r="M75" s="1" t="s">
        <v>129</v>
      </c>
      <c r="N75" s="1" t="s">
        <v>92</v>
      </c>
      <c r="O75" s="2">
        <v>45708</v>
      </c>
      <c r="P75" s="2">
        <v>45708</v>
      </c>
      <c r="Q75" s="1" t="b">
        <v>1</v>
      </c>
      <c r="R75" s="1">
        <v>4</v>
      </c>
      <c r="S75" s="1" t="b">
        <v>0</v>
      </c>
      <c r="U75" s="1" t="b">
        <v>0</v>
      </c>
      <c r="W75" s="1" t="b">
        <v>0</v>
      </c>
      <c r="Y75" s="1">
        <v>56</v>
      </c>
      <c r="Z75" s="1">
        <v>89</v>
      </c>
      <c r="AA75" s="1">
        <v>70</v>
      </c>
      <c r="AB75" s="1" t="b">
        <v>0</v>
      </c>
      <c r="AD75" s="1" t="b">
        <v>0</v>
      </c>
      <c r="AF75" s="1" t="s">
        <v>57</v>
      </c>
      <c r="AH75" s="1">
        <v>0</v>
      </c>
      <c r="AI75" s="1" t="s">
        <v>165</v>
      </c>
    </row>
    <row r="76" spans="1:35" ht="12.5" hidden="1" x14ac:dyDescent="0.25">
      <c r="A76" s="1">
        <v>72</v>
      </c>
      <c r="B76" s="1" t="s">
        <v>354</v>
      </c>
      <c r="C76" s="1" t="s">
        <v>355</v>
      </c>
      <c r="D76" s="1" t="s">
        <v>101</v>
      </c>
      <c r="E76" s="1" t="s">
        <v>38</v>
      </c>
      <c r="F76" s="1" t="s">
        <v>63</v>
      </c>
      <c r="G76" s="1" t="s">
        <v>75</v>
      </c>
      <c r="H76" s="1" t="s">
        <v>88</v>
      </c>
      <c r="I76" s="1" t="s">
        <v>82</v>
      </c>
      <c r="J76" s="1">
        <v>5.2</v>
      </c>
      <c r="K76" s="1" t="s">
        <v>356</v>
      </c>
      <c r="L76" s="1" t="s">
        <v>90</v>
      </c>
      <c r="M76" s="1" t="s">
        <v>129</v>
      </c>
      <c r="N76" s="1" t="s">
        <v>92</v>
      </c>
      <c r="O76" s="2">
        <v>45782</v>
      </c>
      <c r="P76" s="2">
        <v>45783</v>
      </c>
      <c r="Q76" s="1" t="b">
        <v>1</v>
      </c>
      <c r="R76" s="1">
        <v>8</v>
      </c>
      <c r="S76" s="1" t="b">
        <v>1</v>
      </c>
      <c r="T76" s="2">
        <v>45786</v>
      </c>
      <c r="U76" s="1" t="b">
        <v>1</v>
      </c>
      <c r="V76" s="2">
        <v>45789</v>
      </c>
      <c r="W76" s="1" t="b">
        <v>1</v>
      </c>
      <c r="X76" s="2">
        <v>45793</v>
      </c>
      <c r="Y76" s="1">
        <v>60</v>
      </c>
      <c r="Z76" s="1">
        <v>68</v>
      </c>
      <c r="AA76" s="1">
        <v>64</v>
      </c>
      <c r="AB76" s="1" t="b">
        <v>0</v>
      </c>
      <c r="AD76" s="1" t="b">
        <v>0</v>
      </c>
      <c r="AF76" s="1" t="s">
        <v>47</v>
      </c>
      <c r="AH76" s="1">
        <v>11</v>
      </c>
      <c r="AI76" s="1" t="s">
        <v>165</v>
      </c>
    </row>
    <row r="77" spans="1:35" ht="12.5" hidden="1" x14ac:dyDescent="0.25">
      <c r="A77" s="1">
        <v>73</v>
      </c>
      <c r="B77" s="1" t="s">
        <v>357</v>
      </c>
      <c r="C77" s="1" t="s">
        <v>358</v>
      </c>
      <c r="D77" s="1" t="s">
        <v>359</v>
      </c>
      <c r="E77" s="1" t="s">
        <v>52</v>
      </c>
      <c r="F77" s="1" t="s">
        <v>39</v>
      </c>
      <c r="G77" s="1" t="s">
        <v>64</v>
      </c>
      <c r="H77" s="1" t="s">
        <v>65</v>
      </c>
      <c r="I77" s="1" t="s">
        <v>53</v>
      </c>
      <c r="J77" s="1">
        <v>3.1</v>
      </c>
      <c r="K77" s="1" t="s">
        <v>360</v>
      </c>
      <c r="L77" s="1" t="s">
        <v>114</v>
      </c>
      <c r="M77" s="1" t="s">
        <v>68</v>
      </c>
      <c r="N77" s="1" t="s">
        <v>92</v>
      </c>
      <c r="O77" s="2">
        <v>45781</v>
      </c>
      <c r="P77" s="2">
        <v>45787</v>
      </c>
      <c r="Q77" s="1" t="b">
        <v>1</v>
      </c>
      <c r="R77" s="1">
        <v>2</v>
      </c>
      <c r="S77" s="1" t="b">
        <v>1</v>
      </c>
      <c r="T77" s="2">
        <v>45796</v>
      </c>
      <c r="U77" s="1" t="b">
        <v>1</v>
      </c>
      <c r="V77" s="2">
        <v>45805</v>
      </c>
      <c r="W77" s="1" t="b">
        <v>1</v>
      </c>
      <c r="X77" s="2">
        <v>45809</v>
      </c>
      <c r="Y77" s="1">
        <v>62</v>
      </c>
      <c r="Z77" s="1">
        <v>79</v>
      </c>
      <c r="AA77" s="1">
        <v>50</v>
      </c>
      <c r="AB77" s="1" t="b">
        <v>0</v>
      </c>
      <c r="AD77" s="1" t="b">
        <v>0</v>
      </c>
      <c r="AF77" s="1" t="s">
        <v>47</v>
      </c>
      <c r="AG77" s="1" t="s">
        <v>361</v>
      </c>
      <c r="AH77" s="1">
        <v>28</v>
      </c>
      <c r="AI77" s="1" t="s">
        <v>93</v>
      </c>
    </row>
    <row r="78" spans="1:35" ht="12.5" hidden="1" x14ac:dyDescent="0.25">
      <c r="A78" s="1">
        <v>74</v>
      </c>
      <c r="B78" s="1" t="s">
        <v>362</v>
      </c>
      <c r="C78" s="1" t="s">
        <v>363</v>
      </c>
      <c r="D78" s="1" t="s">
        <v>245</v>
      </c>
      <c r="E78" s="1" t="s">
        <v>52</v>
      </c>
      <c r="F78" s="1" t="s">
        <v>74</v>
      </c>
      <c r="G78" s="1" t="s">
        <v>40</v>
      </c>
      <c r="H78" s="1" t="s">
        <v>41</v>
      </c>
      <c r="I78" s="1" t="s">
        <v>53</v>
      </c>
      <c r="J78" s="1">
        <v>4.8</v>
      </c>
      <c r="K78" s="1" t="s">
        <v>364</v>
      </c>
      <c r="L78" s="1" t="s">
        <v>141</v>
      </c>
      <c r="M78" s="1" t="s">
        <v>115</v>
      </c>
      <c r="N78" s="1" t="s">
        <v>92</v>
      </c>
      <c r="O78" s="2">
        <v>45753</v>
      </c>
      <c r="P78" s="2">
        <v>45753</v>
      </c>
      <c r="Q78" s="1" t="b">
        <v>1</v>
      </c>
      <c r="R78" s="1">
        <v>2</v>
      </c>
      <c r="S78" s="1" t="b">
        <v>0</v>
      </c>
      <c r="U78" s="1" t="b">
        <v>0</v>
      </c>
      <c r="W78" s="1" t="b">
        <v>0</v>
      </c>
      <c r="Y78" s="1">
        <v>66</v>
      </c>
      <c r="Z78" s="1">
        <v>75</v>
      </c>
      <c r="AA78" s="1">
        <v>53</v>
      </c>
      <c r="AB78" s="1" t="b">
        <v>0</v>
      </c>
      <c r="AD78" s="1" t="b">
        <v>0</v>
      </c>
      <c r="AF78" s="1" t="s">
        <v>57</v>
      </c>
      <c r="AH78" s="1">
        <v>0</v>
      </c>
      <c r="AI78" s="1" t="s">
        <v>165</v>
      </c>
    </row>
    <row r="79" spans="1:35" ht="12.5" hidden="1" x14ac:dyDescent="0.25">
      <c r="A79" s="1">
        <v>75</v>
      </c>
      <c r="B79" s="1" t="s">
        <v>365</v>
      </c>
      <c r="C79" s="1" t="s">
        <v>366</v>
      </c>
      <c r="D79" s="1" t="s">
        <v>367</v>
      </c>
      <c r="E79" s="1" t="s">
        <v>62</v>
      </c>
      <c r="F79" s="1" t="s">
        <v>39</v>
      </c>
      <c r="G79" s="1" t="s">
        <v>64</v>
      </c>
      <c r="H79" s="1" t="s">
        <v>65</v>
      </c>
      <c r="I79" s="1" t="s">
        <v>42</v>
      </c>
      <c r="J79" s="1">
        <v>7.9</v>
      </c>
      <c r="K79" s="1" t="s">
        <v>368</v>
      </c>
      <c r="L79" s="1" t="s">
        <v>67</v>
      </c>
      <c r="M79" s="1" t="s">
        <v>56</v>
      </c>
      <c r="N79" s="1" t="s">
        <v>84</v>
      </c>
      <c r="O79" s="2">
        <v>45712</v>
      </c>
      <c r="P79" s="2">
        <v>45713</v>
      </c>
      <c r="Q79" s="1" t="b">
        <v>1</v>
      </c>
      <c r="R79" s="1">
        <v>2</v>
      </c>
      <c r="S79" s="1" t="b">
        <v>1</v>
      </c>
      <c r="T79" s="2">
        <v>45714</v>
      </c>
      <c r="U79" s="1" t="b">
        <v>0</v>
      </c>
      <c r="W79" s="1" t="b">
        <v>0</v>
      </c>
      <c r="Y79" s="1">
        <v>85</v>
      </c>
      <c r="Z79" s="1">
        <v>82</v>
      </c>
      <c r="AA79" s="1">
        <v>93</v>
      </c>
      <c r="AB79" s="1" t="b">
        <v>0</v>
      </c>
      <c r="AD79" s="1" t="b">
        <v>0</v>
      </c>
      <c r="AF79" s="1" t="s">
        <v>151</v>
      </c>
      <c r="AG79" s="1" t="s">
        <v>117</v>
      </c>
      <c r="AH79" s="1">
        <v>2</v>
      </c>
      <c r="AI79" s="1" t="s">
        <v>215</v>
      </c>
    </row>
    <row r="80" spans="1:35" ht="12.5" hidden="1" x14ac:dyDescent="0.25">
      <c r="A80" s="1">
        <v>76</v>
      </c>
      <c r="B80" s="1" t="s">
        <v>369</v>
      </c>
      <c r="C80" s="1" t="s">
        <v>370</v>
      </c>
      <c r="D80" s="1" t="s">
        <v>371</v>
      </c>
      <c r="E80" s="1" t="s">
        <v>62</v>
      </c>
      <c r="F80" s="1" t="s">
        <v>63</v>
      </c>
      <c r="G80" s="1" t="s">
        <v>112</v>
      </c>
      <c r="H80" s="1" t="s">
        <v>88</v>
      </c>
      <c r="I80" s="1" t="s">
        <v>53</v>
      </c>
      <c r="J80" s="1">
        <v>4.8</v>
      </c>
      <c r="K80" s="1" t="s">
        <v>210</v>
      </c>
      <c r="L80" s="1" t="s">
        <v>44</v>
      </c>
      <c r="M80" s="1" t="s">
        <v>123</v>
      </c>
      <c r="N80" s="1" t="s">
        <v>116</v>
      </c>
      <c r="O80" s="2">
        <v>45766</v>
      </c>
      <c r="P80" s="2">
        <v>45772</v>
      </c>
      <c r="Q80" s="1" t="b">
        <v>1</v>
      </c>
      <c r="R80" s="1">
        <v>9</v>
      </c>
      <c r="S80" s="1" t="b">
        <v>1</v>
      </c>
      <c r="T80" s="2">
        <v>45776</v>
      </c>
      <c r="U80" s="1" t="b">
        <v>1</v>
      </c>
      <c r="V80" s="2">
        <v>45789</v>
      </c>
      <c r="W80" s="1" t="b">
        <v>1</v>
      </c>
      <c r="X80" s="2">
        <v>45794</v>
      </c>
      <c r="Y80" s="1">
        <v>67</v>
      </c>
      <c r="Z80" s="1">
        <v>63</v>
      </c>
      <c r="AA80" s="1">
        <v>43</v>
      </c>
      <c r="AB80" s="1" t="b">
        <v>0</v>
      </c>
      <c r="AD80" s="1" t="b">
        <v>0</v>
      </c>
      <c r="AF80" s="1" t="s">
        <v>47</v>
      </c>
      <c r="AH80" s="1">
        <v>28</v>
      </c>
      <c r="AI80" s="1" t="s">
        <v>48</v>
      </c>
    </row>
    <row r="81" spans="1:35" ht="12.5" hidden="1" x14ac:dyDescent="0.25">
      <c r="A81" s="1">
        <v>77</v>
      </c>
      <c r="B81" s="1" t="s">
        <v>372</v>
      </c>
      <c r="C81" s="1" t="s">
        <v>373</v>
      </c>
      <c r="D81" s="1" t="s">
        <v>344</v>
      </c>
      <c r="E81" s="1" t="s">
        <v>102</v>
      </c>
      <c r="F81" s="1" t="s">
        <v>111</v>
      </c>
      <c r="G81" s="1" t="s">
        <v>97</v>
      </c>
      <c r="H81" s="1" t="s">
        <v>41</v>
      </c>
      <c r="I81" s="1" t="s">
        <v>53</v>
      </c>
      <c r="J81" s="1">
        <v>4</v>
      </c>
      <c r="K81" s="1" t="s">
        <v>374</v>
      </c>
      <c r="L81" s="1" t="s">
        <v>67</v>
      </c>
      <c r="M81" s="1" t="s">
        <v>45</v>
      </c>
      <c r="N81" s="1" t="s">
        <v>92</v>
      </c>
      <c r="O81" s="2">
        <v>45742</v>
      </c>
      <c r="P81" s="2">
        <v>45744</v>
      </c>
      <c r="Q81" s="1" t="b">
        <v>1</v>
      </c>
      <c r="R81" s="1">
        <v>11</v>
      </c>
      <c r="S81" s="1" t="b">
        <v>1</v>
      </c>
      <c r="T81" s="2">
        <v>45754</v>
      </c>
      <c r="U81" s="1" t="b">
        <v>1</v>
      </c>
      <c r="V81" s="2">
        <v>45763</v>
      </c>
      <c r="W81" s="1" t="b">
        <v>1</v>
      </c>
      <c r="X81" s="2">
        <v>45772</v>
      </c>
      <c r="Y81" s="1">
        <v>63</v>
      </c>
      <c r="Z81" s="1">
        <v>73</v>
      </c>
      <c r="AA81" s="1">
        <v>65</v>
      </c>
      <c r="AB81" s="1" t="b">
        <v>0</v>
      </c>
      <c r="AD81" s="1" t="b">
        <v>0</v>
      </c>
      <c r="AF81" s="1" t="s">
        <v>47</v>
      </c>
      <c r="AH81" s="1">
        <v>30</v>
      </c>
      <c r="AI81" s="1" t="s">
        <v>165</v>
      </c>
    </row>
    <row r="82" spans="1:35" ht="12.5" x14ac:dyDescent="0.25">
      <c r="A82" s="1">
        <v>78</v>
      </c>
      <c r="B82" s="1" t="s">
        <v>375</v>
      </c>
      <c r="C82" s="1" t="s">
        <v>376</v>
      </c>
      <c r="D82" s="1" t="s">
        <v>271</v>
      </c>
      <c r="E82" s="1" t="s">
        <v>62</v>
      </c>
      <c r="F82" s="1" t="s">
        <v>39</v>
      </c>
      <c r="G82" s="1" t="s">
        <v>97</v>
      </c>
      <c r="H82" s="1" t="s">
        <v>65</v>
      </c>
      <c r="I82" s="1" t="s">
        <v>42</v>
      </c>
      <c r="J82" s="1">
        <v>4.8</v>
      </c>
      <c r="K82" s="1" t="s">
        <v>104</v>
      </c>
      <c r="L82" s="1" t="s">
        <v>90</v>
      </c>
      <c r="M82" s="1" t="s">
        <v>146</v>
      </c>
      <c r="N82" s="1" t="s">
        <v>46</v>
      </c>
      <c r="O82" s="2">
        <v>45774</v>
      </c>
      <c r="P82" s="2">
        <v>45774</v>
      </c>
      <c r="Q82" s="1" t="b">
        <v>0</v>
      </c>
      <c r="S82" s="1" t="b">
        <v>0</v>
      </c>
      <c r="U82" s="1" t="b">
        <v>0</v>
      </c>
      <c r="W82" s="1" t="b">
        <v>0</v>
      </c>
      <c r="Y82" s="1">
        <v>82</v>
      </c>
      <c r="Z82" s="1">
        <v>69</v>
      </c>
      <c r="AA82" s="1">
        <v>60</v>
      </c>
      <c r="AB82" s="1" t="b">
        <v>0</v>
      </c>
      <c r="AD82" s="1" t="b">
        <v>0</v>
      </c>
      <c r="AF82" s="1" t="s">
        <v>77</v>
      </c>
      <c r="AG82" s="1" t="s">
        <v>69</v>
      </c>
      <c r="AH82" s="1">
        <v>0</v>
      </c>
      <c r="AI82" s="1" t="s">
        <v>215</v>
      </c>
    </row>
    <row r="83" spans="1:35" ht="12.5" hidden="1" x14ac:dyDescent="0.25">
      <c r="A83" s="1">
        <v>79</v>
      </c>
      <c r="B83" s="1" t="s">
        <v>377</v>
      </c>
      <c r="C83" s="1" t="s">
        <v>378</v>
      </c>
      <c r="D83" s="1" t="s">
        <v>338</v>
      </c>
      <c r="E83" s="1" t="s">
        <v>102</v>
      </c>
      <c r="F83" s="1" t="s">
        <v>74</v>
      </c>
      <c r="G83" s="1" t="s">
        <v>112</v>
      </c>
      <c r="H83" s="1" t="s">
        <v>41</v>
      </c>
      <c r="I83" s="1" t="s">
        <v>42</v>
      </c>
      <c r="J83" s="1">
        <v>5.0999999999999996</v>
      </c>
      <c r="K83" s="1" t="s">
        <v>379</v>
      </c>
      <c r="L83" s="1" t="s">
        <v>141</v>
      </c>
      <c r="M83" s="1" t="s">
        <v>129</v>
      </c>
      <c r="N83" s="1" t="s">
        <v>46</v>
      </c>
      <c r="O83" s="2">
        <v>45803</v>
      </c>
      <c r="P83" s="2">
        <v>45808</v>
      </c>
      <c r="Q83" s="1" t="b">
        <v>1</v>
      </c>
      <c r="R83" s="1">
        <v>6</v>
      </c>
      <c r="S83" s="1" t="b">
        <v>0</v>
      </c>
      <c r="U83" s="1" t="b">
        <v>0</v>
      </c>
      <c r="W83" s="1" t="b">
        <v>0</v>
      </c>
      <c r="Y83" s="1">
        <v>73</v>
      </c>
      <c r="Z83" s="1">
        <v>67</v>
      </c>
      <c r="AA83" s="1">
        <v>74</v>
      </c>
      <c r="AB83" s="1" t="b">
        <v>0</v>
      </c>
      <c r="AD83" s="1" t="b">
        <v>0</v>
      </c>
      <c r="AF83" s="1" t="s">
        <v>57</v>
      </c>
      <c r="AH83" s="1">
        <v>5</v>
      </c>
      <c r="AI83" s="1" t="s">
        <v>165</v>
      </c>
    </row>
    <row r="84" spans="1:35" ht="12.5" hidden="1" x14ac:dyDescent="0.25">
      <c r="A84" s="1">
        <v>80</v>
      </c>
      <c r="B84" s="1" t="s">
        <v>380</v>
      </c>
      <c r="C84" s="1" t="s">
        <v>381</v>
      </c>
      <c r="D84" s="1" t="s">
        <v>382</v>
      </c>
      <c r="E84" s="1" t="s">
        <v>62</v>
      </c>
      <c r="F84" s="1" t="s">
        <v>74</v>
      </c>
      <c r="G84" s="1" t="s">
        <v>97</v>
      </c>
      <c r="H84" s="1" t="s">
        <v>41</v>
      </c>
      <c r="I84" s="1" t="s">
        <v>53</v>
      </c>
      <c r="J84" s="1">
        <v>3.5</v>
      </c>
      <c r="K84" s="1" t="s">
        <v>302</v>
      </c>
      <c r="L84" s="1" t="s">
        <v>141</v>
      </c>
      <c r="M84" s="1" t="s">
        <v>115</v>
      </c>
      <c r="N84" s="1" t="s">
        <v>92</v>
      </c>
      <c r="O84" s="2">
        <v>45690</v>
      </c>
      <c r="P84" s="2">
        <v>45693</v>
      </c>
      <c r="Q84" s="1" t="b">
        <v>1</v>
      </c>
      <c r="R84" s="1">
        <v>4</v>
      </c>
      <c r="S84" s="1" t="b">
        <v>1</v>
      </c>
      <c r="T84" s="2">
        <v>45699</v>
      </c>
      <c r="U84" s="1" t="b">
        <v>1</v>
      </c>
      <c r="V84" s="2">
        <v>45707</v>
      </c>
      <c r="W84" s="1" t="b">
        <v>1</v>
      </c>
      <c r="X84" s="2">
        <v>45714</v>
      </c>
      <c r="Y84" s="1">
        <v>57</v>
      </c>
      <c r="Z84" s="1">
        <v>85</v>
      </c>
      <c r="AA84" s="1">
        <v>57</v>
      </c>
      <c r="AB84" s="1" t="b">
        <v>0</v>
      </c>
      <c r="AD84" s="1" t="b">
        <v>0</v>
      </c>
      <c r="AF84" s="1" t="s">
        <v>47</v>
      </c>
      <c r="AH84" s="1">
        <v>24</v>
      </c>
      <c r="AI84" s="1" t="s">
        <v>157</v>
      </c>
    </row>
    <row r="85" spans="1:35" ht="12.5" hidden="1" x14ac:dyDescent="0.25">
      <c r="A85" s="1">
        <v>81</v>
      </c>
      <c r="B85" s="1" t="s">
        <v>383</v>
      </c>
      <c r="C85" s="1" t="s">
        <v>384</v>
      </c>
      <c r="D85" s="1" t="s">
        <v>278</v>
      </c>
      <c r="E85" s="1" t="s">
        <v>38</v>
      </c>
      <c r="F85" s="1" t="s">
        <v>74</v>
      </c>
      <c r="G85" s="1" t="s">
        <v>97</v>
      </c>
      <c r="H85" s="1" t="s">
        <v>65</v>
      </c>
      <c r="I85" s="1" t="s">
        <v>82</v>
      </c>
      <c r="J85" s="1">
        <v>3.4</v>
      </c>
      <c r="K85" s="1" t="s">
        <v>385</v>
      </c>
      <c r="L85" s="1" t="s">
        <v>55</v>
      </c>
      <c r="M85" s="1" t="s">
        <v>68</v>
      </c>
      <c r="N85" s="1" t="s">
        <v>46</v>
      </c>
      <c r="O85" s="2">
        <v>45708</v>
      </c>
      <c r="P85" s="2">
        <v>45708</v>
      </c>
      <c r="Q85" s="1" t="b">
        <v>1</v>
      </c>
      <c r="R85" s="1">
        <v>4</v>
      </c>
      <c r="S85" s="1" t="b">
        <v>1</v>
      </c>
      <c r="T85" s="2">
        <v>45713</v>
      </c>
      <c r="U85" s="1" t="b">
        <v>1</v>
      </c>
      <c r="V85" s="2">
        <v>45715</v>
      </c>
      <c r="W85" s="1" t="b">
        <v>1</v>
      </c>
      <c r="X85" s="2">
        <v>45725</v>
      </c>
      <c r="Y85" s="1">
        <v>70</v>
      </c>
      <c r="Z85" s="1">
        <v>77</v>
      </c>
      <c r="AA85" s="1">
        <v>65</v>
      </c>
      <c r="AB85" s="1" t="b">
        <v>0</v>
      </c>
      <c r="AD85" s="1" t="b">
        <v>0</v>
      </c>
      <c r="AF85" s="1" t="s">
        <v>47</v>
      </c>
      <c r="AG85" s="1" t="s">
        <v>176</v>
      </c>
      <c r="AH85" s="1">
        <v>17</v>
      </c>
      <c r="AI85" s="1" t="s">
        <v>215</v>
      </c>
    </row>
    <row r="86" spans="1:35" ht="12.5" hidden="1" x14ac:dyDescent="0.25">
      <c r="A86" s="1">
        <v>82</v>
      </c>
      <c r="B86" s="1" t="s">
        <v>386</v>
      </c>
      <c r="C86" s="1" t="s">
        <v>387</v>
      </c>
      <c r="D86" s="1" t="s">
        <v>155</v>
      </c>
      <c r="E86" s="1" t="s">
        <v>102</v>
      </c>
      <c r="F86" s="1" t="s">
        <v>39</v>
      </c>
      <c r="G86" s="1" t="s">
        <v>40</v>
      </c>
      <c r="H86" s="1" t="s">
        <v>65</v>
      </c>
      <c r="I86" s="1" t="s">
        <v>103</v>
      </c>
      <c r="J86" s="1">
        <v>11.2</v>
      </c>
      <c r="K86" s="1" t="s">
        <v>388</v>
      </c>
      <c r="L86" s="1" t="s">
        <v>90</v>
      </c>
      <c r="M86" s="1" t="s">
        <v>56</v>
      </c>
      <c r="N86" s="1" t="s">
        <v>92</v>
      </c>
      <c r="O86" s="2">
        <v>45801</v>
      </c>
      <c r="P86" s="2">
        <v>45804</v>
      </c>
      <c r="Q86" s="1" t="b">
        <v>1</v>
      </c>
      <c r="R86" s="1">
        <v>2</v>
      </c>
      <c r="S86" s="1" t="b">
        <v>1</v>
      </c>
      <c r="T86" s="2">
        <v>45810</v>
      </c>
      <c r="U86" s="1" t="b">
        <v>1</v>
      </c>
      <c r="V86" s="2">
        <v>45823</v>
      </c>
      <c r="W86" s="1" t="b">
        <v>0</v>
      </c>
      <c r="Y86" s="1">
        <v>59</v>
      </c>
      <c r="Z86" s="1">
        <v>88</v>
      </c>
      <c r="AA86" s="1">
        <v>70</v>
      </c>
      <c r="AB86" s="1" t="b">
        <v>0</v>
      </c>
      <c r="AD86" s="1" t="b">
        <v>0</v>
      </c>
      <c r="AF86" s="1" t="s">
        <v>105</v>
      </c>
      <c r="AG86" s="1" t="s">
        <v>152</v>
      </c>
      <c r="AH86" s="1">
        <v>22</v>
      </c>
      <c r="AI86" s="1" t="s">
        <v>78</v>
      </c>
    </row>
    <row r="87" spans="1:35" ht="12.5" x14ac:dyDescent="0.25">
      <c r="A87" s="1">
        <v>83</v>
      </c>
      <c r="B87" s="1" t="s">
        <v>389</v>
      </c>
      <c r="C87" s="1" t="s">
        <v>390</v>
      </c>
      <c r="D87" s="1" t="s">
        <v>195</v>
      </c>
      <c r="E87" s="1" t="s">
        <v>38</v>
      </c>
      <c r="F87" s="1" t="s">
        <v>111</v>
      </c>
      <c r="G87" s="1" t="s">
        <v>97</v>
      </c>
      <c r="H87" s="1" t="s">
        <v>65</v>
      </c>
      <c r="I87" s="1" t="s">
        <v>82</v>
      </c>
      <c r="J87" s="1">
        <v>4</v>
      </c>
      <c r="K87" s="1" t="s">
        <v>133</v>
      </c>
      <c r="L87" s="1" t="s">
        <v>114</v>
      </c>
      <c r="M87" s="1" t="s">
        <v>146</v>
      </c>
      <c r="N87" s="1" t="s">
        <v>84</v>
      </c>
      <c r="O87" s="2">
        <v>45665</v>
      </c>
      <c r="P87" s="2">
        <v>45668</v>
      </c>
      <c r="Q87" s="1" t="b">
        <v>0</v>
      </c>
      <c r="S87" s="1" t="b">
        <v>0</v>
      </c>
      <c r="U87" s="1" t="b">
        <v>0</v>
      </c>
      <c r="W87" s="1" t="b">
        <v>0</v>
      </c>
      <c r="Y87" s="1">
        <v>46</v>
      </c>
      <c r="Z87" s="1">
        <v>56</v>
      </c>
      <c r="AA87" s="1">
        <v>37</v>
      </c>
      <c r="AB87" s="1" t="b">
        <v>0</v>
      </c>
      <c r="AD87" s="1" t="b">
        <v>0</v>
      </c>
      <c r="AF87" s="1" t="s">
        <v>77</v>
      </c>
      <c r="AG87" s="1" t="s">
        <v>69</v>
      </c>
      <c r="AH87" s="1">
        <v>3</v>
      </c>
      <c r="AI87" s="1" t="s">
        <v>157</v>
      </c>
    </row>
    <row r="88" spans="1:35" ht="12.5" hidden="1" x14ac:dyDescent="0.25">
      <c r="A88" s="1">
        <v>84</v>
      </c>
      <c r="B88" s="1" t="s">
        <v>391</v>
      </c>
      <c r="C88" s="1" t="s">
        <v>392</v>
      </c>
      <c r="D88" s="1" t="s">
        <v>393</v>
      </c>
      <c r="E88" s="1" t="s">
        <v>38</v>
      </c>
      <c r="F88" s="1" t="s">
        <v>74</v>
      </c>
      <c r="G88" s="1" t="s">
        <v>40</v>
      </c>
      <c r="H88" s="1" t="s">
        <v>65</v>
      </c>
      <c r="I88" s="1" t="s">
        <v>42</v>
      </c>
      <c r="J88" s="1">
        <v>5.2</v>
      </c>
      <c r="K88" s="1" t="s">
        <v>394</v>
      </c>
      <c r="L88" s="1" t="s">
        <v>90</v>
      </c>
      <c r="M88" s="1" t="s">
        <v>56</v>
      </c>
      <c r="N88" s="1" t="s">
        <v>116</v>
      </c>
      <c r="O88" s="2">
        <v>45738</v>
      </c>
      <c r="P88" s="2">
        <v>45740</v>
      </c>
      <c r="Q88" s="1" t="b">
        <v>1</v>
      </c>
      <c r="R88" s="1">
        <v>8</v>
      </c>
      <c r="S88" s="1" t="b">
        <v>1</v>
      </c>
      <c r="T88" s="2">
        <v>45742</v>
      </c>
      <c r="U88" s="1" t="b">
        <v>1</v>
      </c>
      <c r="V88" s="2">
        <v>45752</v>
      </c>
      <c r="W88" s="1" t="b">
        <v>0</v>
      </c>
      <c r="Y88" s="1">
        <v>59</v>
      </c>
      <c r="Z88" s="1">
        <v>71</v>
      </c>
      <c r="AA88" s="1">
        <v>60</v>
      </c>
      <c r="AB88" s="1" t="b">
        <v>0</v>
      </c>
      <c r="AD88" s="1" t="b">
        <v>0</v>
      </c>
      <c r="AF88" s="1" t="s">
        <v>105</v>
      </c>
      <c r="AG88" s="1" t="s">
        <v>152</v>
      </c>
      <c r="AH88" s="1">
        <v>14</v>
      </c>
      <c r="AI88" s="1" t="s">
        <v>93</v>
      </c>
    </row>
    <row r="89" spans="1:35" ht="12.5" hidden="1" x14ac:dyDescent="0.25">
      <c r="A89" s="1">
        <v>85</v>
      </c>
      <c r="B89" s="1" t="s">
        <v>395</v>
      </c>
      <c r="C89" s="1" t="s">
        <v>396</v>
      </c>
      <c r="D89" s="1" t="s">
        <v>164</v>
      </c>
      <c r="E89" s="1" t="s">
        <v>102</v>
      </c>
      <c r="F89" s="1" t="s">
        <v>63</v>
      </c>
      <c r="G89" s="1" t="s">
        <v>75</v>
      </c>
      <c r="H89" s="1" t="s">
        <v>88</v>
      </c>
      <c r="I89" s="1" t="s">
        <v>53</v>
      </c>
      <c r="J89" s="1">
        <v>3.8</v>
      </c>
      <c r="K89" s="1" t="s">
        <v>145</v>
      </c>
      <c r="L89" s="1" t="s">
        <v>44</v>
      </c>
      <c r="M89" s="1" t="s">
        <v>115</v>
      </c>
      <c r="N89" s="1" t="s">
        <v>46</v>
      </c>
      <c r="O89" s="2">
        <v>45769</v>
      </c>
      <c r="P89" s="2">
        <v>45769</v>
      </c>
      <c r="Q89" s="1" t="b">
        <v>1</v>
      </c>
      <c r="R89" s="1">
        <v>11</v>
      </c>
      <c r="S89" s="1" t="b">
        <v>1</v>
      </c>
      <c r="T89" s="2">
        <v>45773</v>
      </c>
      <c r="U89" s="1" t="b">
        <v>1</v>
      </c>
      <c r="V89" s="2">
        <v>45787</v>
      </c>
      <c r="W89" s="1" t="b">
        <v>1</v>
      </c>
      <c r="X89" s="2">
        <v>45790</v>
      </c>
      <c r="Y89" s="1">
        <v>76</v>
      </c>
      <c r="Z89" s="1">
        <v>92</v>
      </c>
      <c r="AA89" s="1">
        <v>100</v>
      </c>
      <c r="AB89" s="1" t="b">
        <v>1</v>
      </c>
      <c r="AC89" s="2">
        <v>45796</v>
      </c>
      <c r="AD89" s="1" t="b">
        <v>0</v>
      </c>
      <c r="AF89" s="1" t="s">
        <v>316</v>
      </c>
      <c r="AH89" s="1">
        <v>27</v>
      </c>
      <c r="AI89" s="1" t="s">
        <v>58</v>
      </c>
    </row>
    <row r="90" spans="1:35" ht="12.5" hidden="1" x14ac:dyDescent="0.25">
      <c r="A90" s="1">
        <v>86</v>
      </c>
      <c r="B90" s="1" t="s">
        <v>397</v>
      </c>
      <c r="C90" s="1" t="s">
        <v>398</v>
      </c>
      <c r="D90" s="1" t="s">
        <v>382</v>
      </c>
      <c r="E90" s="1" t="s">
        <v>102</v>
      </c>
      <c r="F90" s="1" t="s">
        <v>74</v>
      </c>
      <c r="G90" s="1" t="s">
        <v>64</v>
      </c>
      <c r="H90" s="1" t="s">
        <v>65</v>
      </c>
      <c r="I90" s="1" t="s">
        <v>42</v>
      </c>
      <c r="J90" s="1">
        <v>8.3000000000000007</v>
      </c>
      <c r="K90" s="1" t="s">
        <v>399</v>
      </c>
      <c r="L90" s="1" t="s">
        <v>90</v>
      </c>
      <c r="M90" s="1" t="s">
        <v>115</v>
      </c>
      <c r="N90" s="1" t="s">
        <v>46</v>
      </c>
      <c r="O90" s="2">
        <v>45671</v>
      </c>
      <c r="P90" s="2">
        <v>45676</v>
      </c>
      <c r="Q90" s="1" t="b">
        <v>1</v>
      </c>
      <c r="R90" s="1">
        <v>3</v>
      </c>
      <c r="S90" s="1" t="b">
        <v>1</v>
      </c>
      <c r="T90" s="2">
        <v>45683</v>
      </c>
      <c r="U90" s="1" t="b">
        <v>1</v>
      </c>
      <c r="V90" s="2">
        <v>45686</v>
      </c>
      <c r="W90" s="1" t="b">
        <v>1</v>
      </c>
      <c r="X90" s="2">
        <v>45695</v>
      </c>
      <c r="Y90" s="1">
        <v>79</v>
      </c>
      <c r="Z90" s="1">
        <v>71</v>
      </c>
      <c r="AA90" s="1">
        <v>75</v>
      </c>
      <c r="AB90" s="1" t="b">
        <v>0</v>
      </c>
      <c r="AD90" s="1" t="b">
        <v>0</v>
      </c>
      <c r="AF90" s="1" t="s">
        <v>47</v>
      </c>
      <c r="AG90" s="1" t="s">
        <v>234</v>
      </c>
      <c r="AH90" s="1">
        <v>24</v>
      </c>
      <c r="AI90" s="1" t="s">
        <v>165</v>
      </c>
    </row>
    <row r="91" spans="1:35" ht="12.5" hidden="1" x14ac:dyDescent="0.25">
      <c r="A91" s="1">
        <v>87</v>
      </c>
      <c r="B91" s="1" t="s">
        <v>400</v>
      </c>
      <c r="C91" s="1" t="s">
        <v>401</v>
      </c>
      <c r="D91" s="1" t="s">
        <v>305</v>
      </c>
      <c r="E91" s="1" t="s">
        <v>38</v>
      </c>
      <c r="F91" s="1" t="s">
        <v>63</v>
      </c>
      <c r="G91" s="1" t="s">
        <v>139</v>
      </c>
      <c r="H91" s="1" t="s">
        <v>88</v>
      </c>
      <c r="I91" s="1" t="s">
        <v>42</v>
      </c>
      <c r="J91" s="1">
        <v>6.4</v>
      </c>
      <c r="K91" s="1" t="s">
        <v>402</v>
      </c>
      <c r="L91" s="1" t="s">
        <v>44</v>
      </c>
      <c r="M91" s="1" t="s">
        <v>68</v>
      </c>
      <c r="N91" s="1" t="s">
        <v>46</v>
      </c>
      <c r="O91" s="2">
        <v>45709</v>
      </c>
      <c r="P91" s="2">
        <v>45709</v>
      </c>
      <c r="Q91" s="1" t="b">
        <v>1</v>
      </c>
      <c r="R91" s="1">
        <v>5</v>
      </c>
      <c r="S91" s="1" t="b">
        <v>1</v>
      </c>
      <c r="T91" s="2">
        <v>45713</v>
      </c>
      <c r="U91" s="1" t="b">
        <v>1</v>
      </c>
      <c r="V91" s="2">
        <v>45721</v>
      </c>
      <c r="W91" s="1" t="b">
        <v>1</v>
      </c>
      <c r="X91" s="2">
        <v>45724</v>
      </c>
      <c r="Y91" s="1">
        <v>87</v>
      </c>
      <c r="Z91" s="1">
        <v>87</v>
      </c>
      <c r="AA91" s="1">
        <v>75</v>
      </c>
      <c r="AB91" s="1" t="b">
        <v>1</v>
      </c>
      <c r="AC91" s="2">
        <v>45725</v>
      </c>
      <c r="AD91" s="1" t="b">
        <v>1</v>
      </c>
      <c r="AE91" s="2">
        <v>45732</v>
      </c>
      <c r="AF91" s="1" t="s">
        <v>134</v>
      </c>
      <c r="AH91" s="1">
        <v>23</v>
      </c>
      <c r="AI91" s="1" t="s">
        <v>78</v>
      </c>
    </row>
    <row r="92" spans="1:35" ht="12.5" hidden="1" x14ac:dyDescent="0.25">
      <c r="A92" s="1">
        <v>88</v>
      </c>
      <c r="B92" s="1" t="s">
        <v>403</v>
      </c>
      <c r="C92" s="1" t="s">
        <v>404</v>
      </c>
      <c r="D92" s="1" t="s">
        <v>405</v>
      </c>
      <c r="E92" s="1" t="s">
        <v>38</v>
      </c>
      <c r="F92" s="1" t="s">
        <v>39</v>
      </c>
      <c r="G92" s="1" t="s">
        <v>139</v>
      </c>
      <c r="H92" s="1" t="s">
        <v>41</v>
      </c>
      <c r="I92" s="1" t="s">
        <v>82</v>
      </c>
      <c r="J92" s="1">
        <v>2.8</v>
      </c>
      <c r="K92" s="1" t="s">
        <v>233</v>
      </c>
      <c r="L92" s="1" t="s">
        <v>114</v>
      </c>
      <c r="M92" s="1" t="s">
        <v>146</v>
      </c>
      <c r="N92" s="1" t="s">
        <v>116</v>
      </c>
      <c r="O92" s="2">
        <v>45663</v>
      </c>
      <c r="P92" s="2">
        <v>45665</v>
      </c>
      <c r="Q92" s="1" t="b">
        <v>1</v>
      </c>
      <c r="R92" s="1">
        <v>3</v>
      </c>
      <c r="S92" s="1" t="b">
        <v>1</v>
      </c>
      <c r="T92" s="2">
        <v>45666</v>
      </c>
      <c r="U92" s="1" t="b">
        <v>1</v>
      </c>
      <c r="V92" s="2">
        <v>45670</v>
      </c>
      <c r="W92" s="1" t="b">
        <v>1</v>
      </c>
      <c r="X92" s="2">
        <v>45677</v>
      </c>
      <c r="Y92" s="1">
        <v>92</v>
      </c>
      <c r="Z92" s="1">
        <v>75</v>
      </c>
      <c r="AA92" s="1">
        <v>78</v>
      </c>
      <c r="AB92" s="1" t="b">
        <v>1</v>
      </c>
      <c r="AC92" s="2">
        <v>45684</v>
      </c>
      <c r="AD92" s="1" t="b">
        <v>1</v>
      </c>
      <c r="AE92" s="2">
        <v>45690</v>
      </c>
      <c r="AF92" s="1" t="s">
        <v>134</v>
      </c>
      <c r="AH92" s="1">
        <v>27</v>
      </c>
      <c r="AI92" s="1" t="s">
        <v>48</v>
      </c>
    </row>
    <row r="93" spans="1:35" ht="12.5" hidden="1" x14ac:dyDescent="0.25">
      <c r="A93" s="1">
        <v>89</v>
      </c>
      <c r="B93" s="1" t="s">
        <v>406</v>
      </c>
      <c r="C93" s="1" t="s">
        <v>407</v>
      </c>
      <c r="D93" s="1" t="s">
        <v>322</v>
      </c>
      <c r="E93" s="1" t="s">
        <v>102</v>
      </c>
      <c r="F93" s="1" t="s">
        <v>63</v>
      </c>
      <c r="G93" s="1" t="s">
        <v>75</v>
      </c>
      <c r="H93" s="1" t="s">
        <v>65</v>
      </c>
      <c r="I93" s="1" t="s">
        <v>53</v>
      </c>
      <c r="J93" s="1">
        <v>4</v>
      </c>
      <c r="K93" s="1" t="s">
        <v>364</v>
      </c>
      <c r="L93" s="1" t="s">
        <v>114</v>
      </c>
      <c r="M93" s="1" t="s">
        <v>68</v>
      </c>
      <c r="N93" s="1" t="s">
        <v>92</v>
      </c>
      <c r="O93" s="2">
        <v>45705</v>
      </c>
      <c r="P93" s="2">
        <v>45707</v>
      </c>
      <c r="Q93" s="1" t="b">
        <v>1</v>
      </c>
      <c r="R93" s="1">
        <v>0</v>
      </c>
      <c r="S93" s="1" t="b">
        <v>1</v>
      </c>
      <c r="T93" s="2">
        <v>45712</v>
      </c>
      <c r="U93" s="1" t="b">
        <v>0</v>
      </c>
      <c r="W93" s="1" t="b">
        <v>0</v>
      </c>
      <c r="Y93" s="1">
        <v>68</v>
      </c>
      <c r="Z93" s="1">
        <v>72</v>
      </c>
      <c r="AA93" s="1">
        <v>77</v>
      </c>
      <c r="AB93" s="1" t="b">
        <v>0</v>
      </c>
      <c r="AD93" s="1" t="b">
        <v>0</v>
      </c>
      <c r="AF93" s="1" t="s">
        <v>151</v>
      </c>
      <c r="AH93" s="1">
        <v>7</v>
      </c>
      <c r="AI93" s="1" t="s">
        <v>58</v>
      </c>
    </row>
    <row r="94" spans="1:35" ht="12.5" hidden="1" x14ac:dyDescent="0.25">
      <c r="A94" s="1">
        <v>90</v>
      </c>
      <c r="B94" s="1" t="s">
        <v>408</v>
      </c>
      <c r="C94" s="1" t="s">
        <v>409</v>
      </c>
      <c r="D94" s="1" t="s">
        <v>195</v>
      </c>
      <c r="E94" s="1" t="s">
        <v>62</v>
      </c>
      <c r="F94" s="1" t="s">
        <v>111</v>
      </c>
      <c r="G94" s="1" t="s">
        <v>97</v>
      </c>
      <c r="H94" s="1" t="s">
        <v>88</v>
      </c>
      <c r="I94" s="1" t="s">
        <v>42</v>
      </c>
      <c r="J94" s="1">
        <v>6</v>
      </c>
      <c r="K94" s="1" t="s">
        <v>76</v>
      </c>
      <c r="L94" s="1" t="s">
        <v>90</v>
      </c>
      <c r="M94" s="1" t="s">
        <v>146</v>
      </c>
      <c r="N94" s="1" t="s">
        <v>116</v>
      </c>
      <c r="O94" s="2">
        <v>45681</v>
      </c>
      <c r="P94" s="2">
        <v>45685</v>
      </c>
      <c r="Q94" s="1" t="b">
        <v>1</v>
      </c>
      <c r="R94" s="1">
        <v>2</v>
      </c>
      <c r="S94" s="1" t="b">
        <v>1</v>
      </c>
      <c r="T94" s="2">
        <v>45694</v>
      </c>
      <c r="U94" s="1" t="b">
        <v>0</v>
      </c>
      <c r="W94" s="1" t="b">
        <v>0</v>
      </c>
      <c r="Y94" s="1">
        <v>62</v>
      </c>
      <c r="Z94" s="1">
        <v>61</v>
      </c>
      <c r="AA94" s="1">
        <v>59</v>
      </c>
      <c r="AB94" s="1" t="b">
        <v>0</v>
      </c>
      <c r="AD94" s="1" t="b">
        <v>0</v>
      </c>
      <c r="AF94" s="1" t="s">
        <v>151</v>
      </c>
      <c r="AG94" s="1" t="s">
        <v>207</v>
      </c>
      <c r="AH94" s="1">
        <v>13</v>
      </c>
      <c r="AI94" s="1" t="s">
        <v>93</v>
      </c>
    </row>
    <row r="95" spans="1:35" ht="12.5" x14ac:dyDescent="0.25">
      <c r="A95" s="1">
        <v>91</v>
      </c>
      <c r="B95" s="1" t="s">
        <v>410</v>
      </c>
      <c r="C95" s="1" t="s">
        <v>411</v>
      </c>
      <c r="D95" s="1" t="s">
        <v>267</v>
      </c>
      <c r="E95" s="1" t="s">
        <v>52</v>
      </c>
      <c r="F95" s="1" t="s">
        <v>74</v>
      </c>
      <c r="G95" s="1" t="s">
        <v>112</v>
      </c>
      <c r="H95" s="1" t="s">
        <v>65</v>
      </c>
      <c r="I95" s="1" t="s">
        <v>42</v>
      </c>
      <c r="J95" s="1">
        <v>7.4</v>
      </c>
      <c r="K95" s="1" t="s">
        <v>412</v>
      </c>
      <c r="L95" s="1" t="s">
        <v>55</v>
      </c>
      <c r="M95" s="1" t="s">
        <v>123</v>
      </c>
      <c r="N95" s="1" t="s">
        <v>46</v>
      </c>
      <c r="O95" s="2">
        <v>45661</v>
      </c>
      <c r="P95" s="2">
        <v>45661</v>
      </c>
      <c r="Q95" s="1" t="b">
        <v>0</v>
      </c>
      <c r="S95" s="1" t="b">
        <v>0</v>
      </c>
      <c r="U95" s="1" t="b">
        <v>0</v>
      </c>
      <c r="W95" s="1" t="b">
        <v>0</v>
      </c>
      <c r="Y95" s="1">
        <v>60</v>
      </c>
      <c r="Z95" s="1">
        <v>82</v>
      </c>
      <c r="AA95" s="1">
        <v>75</v>
      </c>
      <c r="AB95" s="1" t="b">
        <v>0</v>
      </c>
      <c r="AD95" s="1" t="b">
        <v>0</v>
      </c>
      <c r="AF95" s="1" t="s">
        <v>77</v>
      </c>
      <c r="AG95" s="1" t="s">
        <v>69</v>
      </c>
      <c r="AH95" s="1">
        <v>0</v>
      </c>
      <c r="AI95" s="1" t="s">
        <v>135</v>
      </c>
    </row>
    <row r="96" spans="1:35" ht="12.5" x14ac:dyDescent="0.25">
      <c r="A96" s="1">
        <v>92</v>
      </c>
      <c r="B96" s="1" t="s">
        <v>413</v>
      </c>
      <c r="C96" s="1" t="s">
        <v>414</v>
      </c>
      <c r="D96" s="1" t="s">
        <v>191</v>
      </c>
      <c r="E96" s="1" t="s">
        <v>62</v>
      </c>
      <c r="F96" s="1" t="s">
        <v>39</v>
      </c>
      <c r="G96" s="1" t="s">
        <v>75</v>
      </c>
      <c r="H96" s="1" t="s">
        <v>88</v>
      </c>
      <c r="I96" s="1" t="s">
        <v>42</v>
      </c>
      <c r="J96" s="1">
        <v>6.5</v>
      </c>
      <c r="K96" s="1" t="s">
        <v>415</v>
      </c>
      <c r="L96" s="1" t="s">
        <v>90</v>
      </c>
      <c r="M96" s="1" t="s">
        <v>68</v>
      </c>
      <c r="N96" s="1" t="s">
        <v>46</v>
      </c>
      <c r="O96" s="2">
        <v>45702</v>
      </c>
      <c r="P96" s="2">
        <v>45711</v>
      </c>
      <c r="Q96" s="1" t="b">
        <v>0</v>
      </c>
      <c r="S96" s="1" t="b">
        <v>0</v>
      </c>
      <c r="U96" s="1" t="b">
        <v>0</v>
      </c>
      <c r="W96" s="1" t="b">
        <v>0</v>
      </c>
      <c r="Y96" s="1">
        <v>85</v>
      </c>
      <c r="Z96" s="1">
        <v>78</v>
      </c>
      <c r="AA96" s="1">
        <v>81</v>
      </c>
      <c r="AB96" s="1" t="b">
        <v>0</v>
      </c>
      <c r="AD96" s="1" t="b">
        <v>0</v>
      </c>
      <c r="AF96" s="1" t="s">
        <v>77</v>
      </c>
      <c r="AG96" s="1" t="s">
        <v>69</v>
      </c>
      <c r="AH96" s="1">
        <v>9</v>
      </c>
      <c r="AI96" s="1" t="s">
        <v>48</v>
      </c>
    </row>
    <row r="97" spans="1:35" ht="12.5" hidden="1" x14ac:dyDescent="0.25">
      <c r="A97" s="1">
        <v>93</v>
      </c>
      <c r="B97" s="1" t="s">
        <v>416</v>
      </c>
      <c r="C97" s="1" t="s">
        <v>417</v>
      </c>
      <c r="D97" s="1" t="s">
        <v>418</v>
      </c>
      <c r="E97" s="1" t="s">
        <v>38</v>
      </c>
      <c r="F97" s="1" t="s">
        <v>63</v>
      </c>
      <c r="G97" s="1" t="s">
        <v>97</v>
      </c>
      <c r="H97" s="1" t="s">
        <v>41</v>
      </c>
      <c r="I97" s="1" t="s">
        <v>42</v>
      </c>
      <c r="J97" s="1">
        <v>6.6</v>
      </c>
      <c r="K97" s="1" t="s">
        <v>419</v>
      </c>
      <c r="L97" s="1" t="s">
        <v>141</v>
      </c>
      <c r="M97" s="1" t="s">
        <v>129</v>
      </c>
      <c r="N97" s="1" t="s">
        <v>46</v>
      </c>
      <c r="O97" s="2">
        <v>45792</v>
      </c>
      <c r="P97" s="2">
        <v>45794</v>
      </c>
      <c r="Q97" s="1" t="b">
        <v>1</v>
      </c>
      <c r="R97" s="1">
        <v>11</v>
      </c>
      <c r="S97" s="1" t="b">
        <v>0</v>
      </c>
      <c r="U97" s="1" t="b">
        <v>0</v>
      </c>
      <c r="W97" s="1" t="b">
        <v>0</v>
      </c>
      <c r="Y97" s="1">
        <v>73</v>
      </c>
      <c r="Z97" s="1">
        <v>74</v>
      </c>
      <c r="AA97" s="1">
        <v>70</v>
      </c>
      <c r="AB97" s="1" t="b">
        <v>0</v>
      </c>
      <c r="AD97" s="1" t="b">
        <v>0</v>
      </c>
      <c r="AF97" s="1" t="s">
        <v>57</v>
      </c>
      <c r="AH97" s="1">
        <v>2</v>
      </c>
      <c r="AI97" s="1" t="s">
        <v>215</v>
      </c>
    </row>
    <row r="98" spans="1:35" ht="12.5" hidden="1" x14ac:dyDescent="0.25">
      <c r="A98" s="1">
        <v>94</v>
      </c>
      <c r="B98" s="1" t="s">
        <v>420</v>
      </c>
      <c r="C98" s="1" t="s">
        <v>421</v>
      </c>
      <c r="D98" s="1" t="s">
        <v>371</v>
      </c>
      <c r="E98" s="1" t="s">
        <v>62</v>
      </c>
      <c r="F98" s="1" t="s">
        <v>63</v>
      </c>
      <c r="G98" s="1" t="s">
        <v>40</v>
      </c>
      <c r="H98" s="1" t="s">
        <v>41</v>
      </c>
      <c r="I98" s="1" t="s">
        <v>53</v>
      </c>
      <c r="J98" s="1">
        <v>5.9</v>
      </c>
      <c r="K98" s="1" t="s">
        <v>422</v>
      </c>
      <c r="L98" s="1" t="s">
        <v>44</v>
      </c>
      <c r="M98" s="1" t="s">
        <v>91</v>
      </c>
      <c r="N98" s="1" t="s">
        <v>46</v>
      </c>
      <c r="O98" s="2">
        <v>45760</v>
      </c>
      <c r="P98" s="2">
        <v>45763</v>
      </c>
      <c r="Q98" s="1" t="b">
        <v>1</v>
      </c>
      <c r="R98" s="1">
        <v>5</v>
      </c>
      <c r="S98" s="1" t="b">
        <v>1</v>
      </c>
      <c r="T98" s="2">
        <v>45765</v>
      </c>
      <c r="U98" s="1" t="b">
        <v>1</v>
      </c>
      <c r="V98" s="2">
        <v>45770</v>
      </c>
      <c r="W98" s="1" t="b">
        <v>1</v>
      </c>
      <c r="X98" s="2">
        <v>45779</v>
      </c>
      <c r="Y98" s="1">
        <v>69</v>
      </c>
      <c r="Z98" s="1">
        <v>74</v>
      </c>
      <c r="AA98" s="1">
        <v>78</v>
      </c>
      <c r="AB98" s="1" t="b">
        <v>0</v>
      </c>
      <c r="AD98" s="1" t="b">
        <v>0</v>
      </c>
      <c r="AF98" s="1" t="s">
        <v>47</v>
      </c>
      <c r="AH98" s="1">
        <v>19</v>
      </c>
      <c r="AI98" s="1" t="s">
        <v>118</v>
      </c>
    </row>
    <row r="99" spans="1:35" ht="12.5" x14ac:dyDescent="0.25">
      <c r="A99" s="1">
        <v>95</v>
      </c>
      <c r="B99" s="1" t="s">
        <v>423</v>
      </c>
      <c r="C99" s="1" t="s">
        <v>424</v>
      </c>
      <c r="D99" s="1" t="s">
        <v>221</v>
      </c>
      <c r="E99" s="1" t="s">
        <v>102</v>
      </c>
      <c r="F99" s="1" t="s">
        <v>111</v>
      </c>
      <c r="G99" s="1" t="s">
        <v>64</v>
      </c>
      <c r="H99" s="1" t="s">
        <v>65</v>
      </c>
      <c r="I99" s="1" t="s">
        <v>53</v>
      </c>
      <c r="J99" s="1">
        <v>3.7</v>
      </c>
      <c r="K99" s="1" t="s">
        <v>425</v>
      </c>
      <c r="L99" s="1" t="s">
        <v>67</v>
      </c>
      <c r="M99" s="1" t="s">
        <v>115</v>
      </c>
      <c r="N99" s="1" t="s">
        <v>84</v>
      </c>
      <c r="O99" s="2">
        <v>45726</v>
      </c>
      <c r="P99" s="2">
        <v>45728</v>
      </c>
      <c r="Q99" s="1" t="b">
        <v>0</v>
      </c>
      <c r="S99" s="1" t="b">
        <v>0</v>
      </c>
      <c r="U99" s="1" t="b">
        <v>0</v>
      </c>
      <c r="W99" s="1" t="b">
        <v>0</v>
      </c>
      <c r="Y99" s="1">
        <v>64</v>
      </c>
      <c r="Z99" s="1">
        <v>61</v>
      </c>
      <c r="AA99" s="1">
        <v>65</v>
      </c>
      <c r="AB99" s="1" t="b">
        <v>0</v>
      </c>
      <c r="AD99" s="1" t="b">
        <v>0</v>
      </c>
      <c r="AF99" s="1" t="s">
        <v>77</v>
      </c>
      <c r="AG99" s="1" t="s">
        <v>69</v>
      </c>
      <c r="AH99" s="1">
        <v>2</v>
      </c>
      <c r="AI99" s="1" t="s">
        <v>118</v>
      </c>
    </row>
    <row r="100" spans="1:35" ht="12.5" hidden="1" x14ac:dyDescent="0.25">
      <c r="A100" s="1">
        <v>96</v>
      </c>
      <c r="B100" s="1" t="s">
        <v>426</v>
      </c>
      <c r="C100" s="1" t="s">
        <v>427</v>
      </c>
      <c r="D100" s="1" t="s">
        <v>367</v>
      </c>
      <c r="E100" s="1" t="s">
        <v>62</v>
      </c>
      <c r="F100" s="1" t="s">
        <v>74</v>
      </c>
      <c r="G100" s="1" t="s">
        <v>40</v>
      </c>
      <c r="H100" s="1" t="s">
        <v>65</v>
      </c>
      <c r="I100" s="1" t="s">
        <v>42</v>
      </c>
      <c r="J100" s="1">
        <v>8.1999999999999993</v>
      </c>
      <c r="K100" s="1" t="s">
        <v>422</v>
      </c>
      <c r="L100" s="1" t="s">
        <v>141</v>
      </c>
      <c r="M100" s="1" t="s">
        <v>123</v>
      </c>
      <c r="N100" s="1" t="s">
        <v>84</v>
      </c>
      <c r="O100" s="2">
        <v>45707</v>
      </c>
      <c r="P100" s="2">
        <v>45712</v>
      </c>
      <c r="Q100" s="1" t="b">
        <v>1</v>
      </c>
      <c r="R100" s="1">
        <v>11</v>
      </c>
      <c r="S100" s="1" t="b">
        <v>0</v>
      </c>
      <c r="U100" s="1" t="b">
        <v>0</v>
      </c>
      <c r="W100" s="1" t="b">
        <v>0</v>
      </c>
      <c r="Y100" s="1">
        <v>39</v>
      </c>
      <c r="Z100" s="1">
        <v>92</v>
      </c>
      <c r="AA100" s="1">
        <v>66</v>
      </c>
      <c r="AB100" s="1" t="b">
        <v>0</v>
      </c>
      <c r="AD100" s="1" t="b">
        <v>0</v>
      </c>
      <c r="AF100" s="1" t="s">
        <v>57</v>
      </c>
      <c r="AG100" s="1" t="s">
        <v>124</v>
      </c>
      <c r="AH100" s="1">
        <v>5</v>
      </c>
      <c r="AI100" s="1" t="s">
        <v>215</v>
      </c>
    </row>
    <row r="101" spans="1:35" ht="12.5" hidden="1" x14ac:dyDescent="0.25">
      <c r="A101" s="1">
        <v>97</v>
      </c>
      <c r="B101" s="1" t="s">
        <v>428</v>
      </c>
      <c r="C101" s="1" t="s">
        <v>429</v>
      </c>
      <c r="D101" s="1" t="s">
        <v>229</v>
      </c>
      <c r="E101" s="1" t="s">
        <v>38</v>
      </c>
      <c r="F101" s="1" t="s">
        <v>74</v>
      </c>
      <c r="G101" s="1" t="s">
        <v>112</v>
      </c>
      <c r="H101" s="1" t="s">
        <v>41</v>
      </c>
      <c r="I101" s="1" t="s">
        <v>53</v>
      </c>
      <c r="J101" s="1">
        <v>5.9</v>
      </c>
      <c r="K101" s="1" t="s">
        <v>430</v>
      </c>
      <c r="L101" s="1" t="s">
        <v>67</v>
      </c>
      <c r="M101" s="1" t="s">
        <v>115</v>
      </c>
      <c r="N101" s="1" t="s">
        <v>92</v>
      </c>
      <c r="O101" s="2">
        <v>45695</v>
      </c>
      <c r="P101" s="2">
        <v>45695</v>
      </c>
      <c r="Q101" s="1" t="b">
        <v>1</v>
      </c>
      <c r="R101" s="1">
        <v>0</v>
      </c>
      <c r="S101" s="1" t="b">
        <v>1</v>
      </c>
      <c r="T101" s="2">
        <v>45698</v>
      </c>
      <c r="U101" s="1" t="b">
        <v>1</v>
      </c>
      <c r="V101" s="2">
        <v>45701</v>
      </c>
      <c r="W101" s="1" t="b">
        <v>1</v>
      </c>
      <c r="X101" s="2">
        <v>45704</v>
      </c>
      <c r="Y101" s="1">
        <v>64</v>
      </c>
      <c r="Z101" s="1">
        <v>67</v>
      </c>
      <c r="AA101" s="1">
        <v>68</v>
      </c>
      <c r="AB101" s="1" t="b">
        <v>0</v>
      </c>
      <c r="AD101" s="1" t="b">
        <v>0</v>
      </c>
      <c r="AF101" s="1" t="s">
        <v>47</v>
      </c>
      <c r="AG101" s="1" t="s">
        <v>287</v>
      </c>
      <c r="AH101" s="1">
        <v>9</v>
      </c>
      <c r="AI101" s="1" t="s">
        <v>70</v>
      </c>
    </row>
    <row r="102" spans="1:35" ht="12.5" hidden="1" x14ac:dyDescent="0.25">
      <c r="A102" s="1">
        <v>98</v>
      </c>
      <c r="B102" s="1" t="s">
        <v>431</v>
      </c>
      <c r="C102" s="1" t="s">
        <v>432</v>
      </c>
      <c r="D102" s="1" t="s">
        <v>164</v>
      </c>
      <c r="E102" s="1" t="s">
        <v>52</v>
      </c>
      <c r="F102" s="1" t="s">
        <v>63</v>
      </c>
      <c r="G102" s="1" t="s">
        <v>112</v>
      </c>
      <c r="H102" s="1" t="s">
        <v>88</v>
      </c>
      <c r="I102" s="1" t="s">
        <v>82</v>
      </c>
      <c r="J102" s="1">
        <v>3.4</v>
      </c>
      <c r="K102" s="1" t="s">
        <v>433</v>
      </c>
      <c r="L102" s="1" t="s">
        <v>55</v>
      </c>
      <c r="M102" s="1" t="s">
        <v>115</v>
      </c>
      <c r="N102" s="1" t="s">
        <v>84</v>
      </c>
      <c r="O102" s="2">
        <v>45684</v>
      </c>
      <c r="P102" s="2">
        <v>45687</v>
      </c>
      <c r="Q102" s="1" t="b">
        <v>1</v>
      </c>
      <c r="R102" s="1">
        <v>6</v>
      </c>
      <c r="S102" s="1" t="b">
        <v>1</v>
      </c>
      <c r="T102" s="2">
        <v>45691</v>
      </c>
      <c r="U102" s="1" t="b">
        <v>1</v>
      </c>
      <c r="V102" s="2">
        <v>45704</v>
      </c>
      <c r="W102" s="1" t="b">
        <v>1</v>
      </c>
      <c r="X102" s="2">
        <v>45708</v>
      </c>
      <c r="Y102" s="1">
        <v>65</v>
      </c>
      <c r="Z102" s="1">
        <v>87</v>
      </c>
      <c r="AA102" s="1">
        <v>68</v>
      </c>
      <c r="AB102" s="1" t="b">
        <v>0</v>
      </c>
      <c r="AD102" s="1" t="b">
        <v>0</v>
      </c>
      <c r="AF102" s="1" t="s">
        <v>47</v>
      </c>
      <c r="AG102" s="1" t="s">
        <v>361</v>
      </c>
      <c r="AH102" s="1">
        <v>24</v>
      </c>
      <c r="AI102" s="1" t="s">
        <v>78</v>
      </c>
    </row>
    <row r="103" spans="1:35" ht="12.5" x14ac:dyDescent="0.25">
      <c r="A103" s="1">
        <v>99</v>
      </c>
      <c r="B103" s="1" t="s">
        <v>434</v>
      </c>
      <c r="C103" s="1" t="s">
        <v>435</v>
      </c>
      <c r="D103" s="1" t="s">
        <v>436</v>
      </c>
      <c r="E103" s="1" t="s">
        <v>62</v>
      </c>
      <c r="F103" s="1" t="s">
        <v>39</v>
      </c>
      <c r="G103" s="1" t="s">
        <v>40</v>
      </c>
      <c r="H103" s="1" t="s">
        <v>65</v>
      </c>
      <c r="I103" s="1" t="s">
        <v>42</v>
      </c>
      <c r="J103" s="1">
        <v>8</v>
      </c>
      <c r="K103" s="1" t="s">
        <v>437</v>
      </c>
      <c r="L103" s="1" t="s">
        <v>90</v>
      </c>
      <c r="M103" s="1" t="s">
        <v>45</v>
      </c>
      <c r="N103" s="1" t="s">
        <v>84</v>
      </c>
      <c r="O103" s="2">
        <v>45705</v>
      </c>
      <c r="P103" s="2">
        <v>45710</v>
      </c>
      <c r="Q103" s="1" t="b">
        <v>0</v>
      </c>
      <c r="S103" s="1" t="b">
        <v>0</v>
      </c>
      <c r="U103" s="1" t="b">
        <v>0</v>
      </c>
      <c r="W103" s="1" t="b">
        <v>0</v>
      </c>
      <c r="Y103" s="1">
        <v>69</v>
      </c>
      <c r="Z103" s="1">
        <v>64</v>
      </c>
      <c r="AA103" s="1">
        <v>70</v>
      </c>
      <c r="AB103" s="1" t="b">
        <v>0</v>
      </c>
      <c r="AD103" s="1" t="b">
        <v>0</v>
      </c>
      <c r="AF103" s="1" t="s">
        <v>77</v>
      </c>
      <c r="AG103" s="1" t="s">
        <v>69</v>
      </c>
      <c r="AH103" s="1">
        <v>5</v>
      </c>
      <c r="AI103" s="1" t="s">
        <v>157</v>
      </c>
    </row>
    <row r="104" spans="1:35" ht="12.5" hidden="1" x14ac:dyDescent="0.25">
      <c r="A104" s="1">
        <v>100</v>
      </c>
      <c r="B104" s="1" t="s">
        <v>438</v>
      </c>
      <c r="C104" s="1" t="s">
        <v>439</v>
      </c>
      <c r="D104" s="1" t="s">
        <v>174</v>
      </c>
      <c r="E104" s="1" t="s">
        <v>38</v>
      </c>
      <c r="F104" s="1" t="s">
        <v>39</v>
      </c>
      <c r="G104" s="1" t="s">
        <v>97</v>
      </c>
      <c r="H104" s="1" t="s">
        <v>65</v>
      </c>
      <c r="I104" s="1" t="s">
        <v>53</v>
      </c>
      <c r="J104" s="1">
        <v>6.3</v>
      </c>
      <c r="K104" s="1" t="s">
        <v>440</v>
      </c>
      <c r="L104" s="1" t="s">
        <v>114</v>
      </c>
      <c r="M104" s="1" t="s">
        <v>129</v>
      </c>
      <c r="N104" s="1" t="s">
        <v>84</v>
      </c>
      <c r="O104" s="2">
        <v>45799</v>
      </c>
      <c r="P104" s="2">
        <v>45799</v>
      </c>
      <c r="Q104" s="1" t="b">
        <v>1</v>
      </c>
      <c r="R104" s="1">
        <v>6</v>
      </c>
      <c r="S104" s="1" t="b">
        <v>1</v>
      </c>
      <c r="T104" s="2">
        <v>45807</v>
      </c>
      <c r="U104" s="1" t="b">
        <v>1</v>
      </c>
      <c r="V104" s="2">
        <v>45818</v>
      </c>
      <c r="W104" s="1" t="b">
        <v>1</v>
      </c>
      <c r="X104" s="2">
        <v>45824</v>
      </c>
      <c r="Y104" s="1">
        <v>88</v>
      </c>
      <c r="Z104" s="1">
        <v>65</v>
      </c>
      <c r="AA104" s="1">
        <v>68</v>
      </c>
      <c r="AB104" s="1" t="b">
        <v>0</v>
      </c>
      <c r="AD104" s="1" t="b">
        <v>0</v>
      </c>
      <c r="AF104" s="1" t="s">
        <v>47</v>
      </c>
      <c r="AG104" s="1" t="s">
        <v>124</v>
      </c>
      <c r="AH104" s="1">
        <v>25</v>
      </c>
      <c r="AI104" s="1" t="s">
        <v>165</v>
      </c>
    </row>
    <row r="105" spans="1:35" ht="12.5" hidden="1" x14ac:dyDescent="0.25">
      <c r="A105" s="1">
        <v>101</v>
      </c>
      <c r="B105" s="1" t="s">
        <v>441</v>
      </c>
      <c r="C105" s="1" t="s">
        <v>442</v>
      </c>
      <c r="D105" s="1" t="s">
        <v>195</v>
      </c>
      <c r="E105" s="1" t="s">
        <v>52</v>
      </c>
      <c r="F105" s="1" t="s">
        <v>39</v>
      </c>
      <c r="G105" s="1" t="s">
        <v>64</v>
      </c>
      <c r="H105" s="1" t="s">
        <v>41</v>
      </c>
      <c r="I105" s="1" t="s">
        <v>53</v>
      </c>
      <c r="J105" s="1">
        <v>2.6</v>
      </c>
      <c r="K105" s="1" t="s">
        <v>443</v>
      </c>
      <c r="L105" s="1" t="s">
        <v>141</v>
      </c>
      <c r="M105" s="1" t="s">
        <v>146</v>
      </c>
      <c r="N105" s="1" t="s">
        <v>46</v>
      </c>
      <c r="O105" s="2">
        <v>45699</v>
      </c>
      <c r="P105" s="2">
        <v>45705</v>
      </c>
      <c r="Q105" s="1" t="b">
        <v>1</v>
      </c>
      <c r="R105" s="1">
        <v>11</v>
      </c>
      <c r="S105" s="1" t="b">
        <v>0</v>
      </c>
      <c r="U105" s="1" t="b">
        <v>0</v>
      </c>
      <c r="W105" s="1" t="b">
        <v>0</v>
      </c>
      <c r="Y105" s="1">
        <v>73</v>
      </c>
      <c r="Z105" s="1">
        <v>56</v>
      </c>
      <c r="AA105" s="1">
        <v>52</v>
      </c>
      <c r="AB105" s="1" t="b">
        <v>0</v>
      </c>
      <c r="AD105" s="1" t="b">
        <v>0</v>
      </c>
      <c r="AF105" s="1" t="s">
        <v>57</v>
      </c>
      <c r="AG105" s="1" t="s">
        <v>234</v>
      </c>
      <c r="AH105" s="1">
        <v>6</v>
      </c>
      <c r="AI105" s="1" t="s">
        <v>215</v>
      </c>
    </row>
    <row r="106" spans="1:35" ht="12.5" hidden="1" x14ac:dyDescent="0.25">
      <c r="A106" s="1">
        <v>102</v>
      </c>
      <c r="B106" s="1" t="s">
        <v>444</v>
      </c>
      <c r="C106" s="1" t="s">
        <v>445</v>
      </c>
      <c r="D106" s="1" t="s">
        <v>37</v>
      </c>
      <c r="E106" s="1" t="s">
        <v>38</v>
      </c>
      <c r="F106" s="1" t="s">
        <v>111</v>
      </c>
      <c r="G106" s="1" t="s">
        <v>139</v>
      </c>
      <c r="H106" s="1" t="s">
        <v>65</v>
      </c>
      <c r="I106" s="1" t="s">
        <v>42</v>
      </c>
      <c r="J106" s="1">
        <v>8</v>
      </c>
      <c r="K106" s="1" t="s">
        <v>446</v>
      </c>
      <c r="L106" s="1" t="s">
        <v>67</v>
      </c>
      <c r="M106" s="1" t="s">
        <v>146</v>
      </c>
      <c r="N106" s="1" t="s">
        <v>116</v>
      </c>
      <c r="O106" s="2">
        <v>45688</v>
      </c>
      <c r="P106" s="2">
        <v>45688</v>
      </c>
      <c r="Q106" s="1" t="b">
        <v>1</v>
      </c>
      <c r="R106" s="1">
        <v>3</v>
      </c>
      <c r="S106" s="1" t="b">
        <v>0</v>
      </c>
      <c r="U106" s="1" t="b">
        <v>0</v>
      </c>
      <c r="W106" s="1" t="b">
        <v>0</v>
      </c>
      <c r="Y106" s="1">
        <v>70</v>
      </c>
      <c r="Z106" s="1">
        <v>71</v>
      </c>
      <c r="AA106" s="1">
        <v>72</v>
      </c>
      <c r="AB106" s="1" t="b">
        <v>0</v>
      </c>
      <c r="AD106" s="1" t="b">
        <v>0</v>
      </c>
      <c r="AF106" s="1" t="s">
        <v>57</v>
      </c>
      <c r="AH106" s="1">
        <v>0</v>
      </c>
      <c r="AI106" s="1" t="s">
        <v>215</v>
      </c>
    </row>
    <row r="107" spans="1:35" ht="12.5" hidden="1" x14ac:dyDescent="0.25">
      <c r="A107" s="1">
        <v>103</v>
      </c>
      <c r="B107" s="1" t="s">
        <v>447</v>
      </c>
      <c r="C107" s="1" t="s">
        <v>448</v>
      </c>
      <c r="D107" s="1" t="s">
        <v>335</v>
      </c>
      <c r="E107" s="1" t="s">
        <v>38</v>
      </c>
      <c r="F107" s="1" t="s">
        <v>63</v>
      </c>
      <c r="G107" s="1" t="s">
        <v>112</v>
      </c>
      <c r="H107" s="1" t="s">
        <v>65</v>
      </c>
      <c r="I107" s="1" t="s">
        <v>82</v>
      </c>
      <c r="J107" s="1">
        <v>3.8</v>
      </c>
      <c r="K107" s="1" t="s">
        <v>449</v>
      </c>
      <c r="L107" s="1" t="s">
        <v>44</v>
      </c>
      <c r="M107" s="1" t="s">
        <v>129</v>
      </c>
      <c r="N107" s="1" t="s">
        <v>92</v>
      </c>
      <c r="O107" s="2">
        <v>45705</v>
      </c>
      <c r="P107" s="2">
        <v>45705</v>
      </c>
      <c r="Q107" s="1" t="b">
        <v>1</v>
      </c>
      <c r="R107" s="1">
        <v>7</v>
      </c>
      <c r="S107" s="1" t="b">
        <v>1</v>
      </c>
      <c r="T107" s="2">
        <v>45713</v>
      </c>
      <c r="U107" s="1" t="b">
        <v>1</v>
      </c>
      <c r="V107" s="2">
        <v>45716</v>
      </c>
      <c r="W107" s="1" t="b">
        <v>0</v>
      </c>
      <c r="Y107" s="1">
        <v>53</v>
      </c>
      <c r="Z107" s="1">
        <v>71</v>
      </c>
      <c r="AA107" s="1">
        <v>63</v>
      </c>
      <c r="AB107" s="1" t="b">
        <v>0</v>
      </c>
      <c r="AD107" s="1" t="b">
        <v>0</v>
      </c>
      <c r="AF107" s="1" t="s">
        <v>105</v>
      </c>
      <c r="AG107" s="1" t="s">
        <v>207</v>
      </c>
      <c r="AH107" s="1">
        <v>11</v>
      </c>
      <c r="AI107" s="1" t="s">
        <v>70</v>
      </c>
    </row>
    <row r="108" spans="1:35" ht="12.5" hidden="1" x14ac:dyDescent="0.25">
      <c r="A108" s="1">
        <v>104</v>
      </c>
      <c r="B108" s="1" t="s">
        <v>450</v>
      </c>
      <c r="C108" s="1" t="s">
        <v>451</v>
      </c>
      <c r="D108" s="1" t="s">
        <v>329</v>
      </c>
      <c r="E108" s="1" t="s">
        <v>62</v>
      </c>
      <c r="F108" s="1" t="s">
        <v>111</v>
      </c>
      <c r="G108" s="1" t="s">
        <v>64</v>
      </c>
      <c r="H108" s="1" t="s">
        <v>41</v>
      </c>
      <c r="I108" s="1" t="s">
        <v>53</v>
      </c>
      <c r="J108" s="1">
        <v>5.2</v>
      </c>
      <c r="K108" s="1" t="s">
        <v>368</v>
      </c>
      <c r="L108" s="1" t="s">
        <v>114</v>
      </c>
      <c r="M108" s="1" t="s">
        <v>91</v>
      </c>
      <c r="N108" s="1" t="s">
        <v>92</v>
      </c>
      <c r="O108" s="2">
        <v>45704</v>
      </c>
      <c r="P108" s="2">
        <v>45709</v>
      </c>
      <c r="Q108" s="1" t="b">
        <v>1</v>
      </c>
      <c r="R108" s="1">
        <v>5</v>
      </c>
      <c r="S108" s="1" t="b">
        <v>1</v>
      </c>
      <c r="T108" s="2">
        <v>45712</v>
      </c>
      <c r="U108" s="1" t="b">
        <v>0</v>
      </c>
      <c r="W108" s="1" t="b">
        <v>0</v>
      </c>
      <c r="Y108" s="1">
        <v>73</v>
      </c>
      <c r="Z108" s="1">
        <v>91</v>
      </c>
      <c r="AA108" s="1">
        <v>80</v>
      </c>
      <c r="AB108" s="1" t="b">
        <v>0</v>
      </c>
      <c r="AD108" s="1" t="b">
        <v>0</v>
      </c>
      <c r="AF108" s="1" t="s">
        <v>151</v>
      </c>
      <c r="AG108" s="1" t="s">
        <v>124</v>
      </c>
      <c r="AH108" s="1">
        <v>8</v>
      </c>
      <c r="AI108" s="1" t="s">
        <v>93</v>
      </c>
    </row>
    <row r="109" spans="1:35" ht="12.5" x14ac:dyDescent="0.25">
      <c r="A109" s="1">
        <v>105</v>
      </c>
      <c r="B109" s="1" t="s">
        <v>452</v>
      </c>
      <c r="C109" s="1" t="s">
        <v>453</v>
      </c>
      <c r="D109" s="1" t="s">
        <v>293</v>
      </c>
      <c r="E109" s="1" t="s">
        <v>52</v>
      </c>
      <c r="F109" s="1" t="s">
        <v>111</v>
      </c>
      <c r="G109" s="1" t="s">
        <v>64</v>
      </c>
      <c r="H109" s="1" t="s">
        <v>88</v>
      </c>
      <c r="I109" s="1" t="s">
        <v>53</v>
      </c>
      <c r="J109" s="1">
        <v>2.6</v>
      </c>
      <c r="K109" s="1" t="s">
        <v>454</v>
      </c>
      <c r="L109" s="1" t="s">
        <v>44</v>
      </c>
      <c r="M109" s="1" t="s">
        <v>115</v>
      </c>
      <c r="N109" s="1" t="s">
        <v>84</v>
      </c>
      <c r="O109" s="2">
        <v>45695</v>
      </c>
      <c r="P109" s="2">
        <v>45701</v>
      </c>
      <c r="Q109" s="1" t="b">
        <v>0</v>
      </c>
      <c r="S109" s="1" t="b">
        <v>0</v>
      </c>
      <c r="U109" s="1" t="b">
        <v>0</v>
      </c>
      <c r="W109" s="1" t="b">
        <v>0</v>
      </c>
      <c r="Y109" s="1">
        <v>81</v>
      </c>
      <c r="Z109" s="1">
        <v>61</v>
      </c>
      <c r="AA109" s="1">
        <v>82</v>
      </c>
      <c r="AB109" s="1" t="b">
        <v>0</v>
      </c>
      <c r="AD109" s="1" t="b">
        <v>0</v>
      </c>
      <c r="AF109" s="1" t="s">
        <v>77</v>
      </c>
      <c r="AG109" s="1" t="s">
        <v>69</v>
      </c>
      <c r="AH109" s="1">
        <v>6</v>
      </c>
      <c r="AI109" s="1" t="s">
        <v>215</v>
      </c>
    </row>
    <row r="110" spans="1:35" ht="12.5" hidden="1" x14ac:dyDescent="0.25">
      <c r="A110" s="1">
        <v>106</v>
      </c>
      <c r="B110" s="1" t="s">
        <v>455</v>
      </c>
      <c r="C110" s="1" t="s">
        <v>456</v>
      </c>
      <c r="D110" s="1" t="s">
        <v>359</v>
      </c>
      <c r="E110" s="1" t="s">
        <v>38</v>
      </c>
      <c r="F110" s="1" t="s">
        <v>111</v>
      </c>
      <c r="G110" s="1" t="s">
        <v>64</v>
      </c>
      <c r="H110" s="1" t="s">
        <v>88</v>
      </c>
      <c r="I110" s="1" t="s">
        <v>53</v>
      </c>
      <c r="J110" s="1">
        <v>7.4</v>
      </c>
      <c r="K110" s="1" t="s">
        <v>206</v>
      </c>
      <c r="L110" s="1" t="s">
        <v>90</v>
      </c>
      <c r="M110" s="1" t="s">
        <v>91</v>
      </c>
      <c r="N110" s="1" t="s">
        <v>116</v>
      </c>
      <c r="O110" s="2">
        <v>45729</v>
      </c>
      <c r="P110" s="2">
        <v>45735</v>
      </c>
      <c r="Q110" s="1" t="b">
        <v>1</v>
      </c>
      <c r="R110" s="1">
        <v>4</v>
      </c>
      <c r="S110" s="1" t="b">
        <v>0</v>
      </c>
      <c r="U110" s="1" t="b">
        <v>0</v>
      </c>
      <c r="W110" s="1" t="b">
        <v>0</v>
      </c>
      <c r="Y110" s="1">
        <v>77</v>
      </c>
      <c r="Z110" s="1">
        <v>80</v>
      </c>
      <c r="AA110" s="1">
        <v>74</v>
      </c>
      <c r="AB110" s="1" t="b">
        <v>0</v>
      </c>
      <c r="AD110" s="1" t="b">
        <v>0</v>
      </c>
      <c r="AF110" s="1" t="s">
        <v>57</v>
      </c>
      <c r="AH110" s="1">
        <v>6</v>
      </c>
      <c r="AI110" s="1" t="s">
        <v>157</v>
      </c>
    </row>
    <row r="111" spans="1:35" ht="12.5" x14ac:dyDescent="0.25">
      <c r="A111" s="1">
        <v>107</v>
      </c>
      <c r="B111" s="1" t="s">
        <v>457</v>
      </c>
      <c r="C111" s="1" t="s">
        <v>458</v>
      </c>
      <c r="D111" s="1" t="s">
        <v>73</v>
      </c>
      <c r="E111" s="1" t="s">
        <v>52</v>
      </c>
      <c r="F111" s="1" t="s">
        <v>74</v>
      </c>
      <c r="G111" s="1" t="s">
        <v>64</v>
      </c>
      <c r="H111" s="1" t="s">
        <v>65</v>
      </c>
      <c r="I111" s="1" t="s">
        <v>82</v>
      </c>
      <c r="J111" s="1">
        <v>1.9</v>
      </c>
      <c r="K111" s="1" t="s">
        <v>459</v>
      </c>
      <c r="L111" s="1" t="s">
        <v>141</v>
      </c>
      <c r="M111" s="1" t="s">
        <v>123</v>
      </c>
      <c r="N111" s="1" t="s">
        <v>46</v>
      </c>
      <c r="O111" s="2">
        <v>45759</v>
      </c>
      <c r="P111" s="2">
        <v>45763</v>
      </c>
      <c r="Q111" s="1" t="b">
        <v>0</v>
      </c>
      <c r="S111" s="1" t="b">
        <v>0</v>
      </c>
      <c r="U111" s="1" t="b">
        <v>0</v>
      </c>
      <c r="W111" s="1" t="b">
        <v>0</v>
      </c>
      <c r="Y111" s="1">
        <v>64</v>
      </c>
      <c r="Z111" s="1">
        <v>67</v>
      </c>
      <c r="AA111" s="1">
        <v>72</v>
      </c>
      <c r="AB111" s="1" t="b">
        <v>0</v>
      </c>
      <c r="AD111" s="1" t="b">
        <v>0</v>
      </c>
      <c r="AF111" s="1" t="s">
        <v>77</v>
      </c>
      <c r="AG111" s="1" t="s">
        <v>69</v>
      </c>
      <c r="AH111" s="1">
        <v>4</v>
      </c>
      <c r="AI111" s="1" t="s">
        <v>48</v>
      </c>
    </row>
    <row r="112" spans="1:35" ht="12.5" hidden="1" x14ac:dyDescent="0.25">
      <c r="A112" s="1">
        <v>108</v>
      </c>
      <c r="B112" s="1" t="s">
        <v>460</v>
      </c>
      <c r="C112" s="1" t="s">
        <v>461</v>
      </c>
      <c r="D112" s="1" t="s">
        <v>205</v>
      </c>
      <c r="E112" s="1" t="s">
        <v>102</v>
      </c>
      <c r="F112" s="1" t="s">
        <v>39</v>
      </c>
      <c r="G112" s="1" t="s">
        <v>40</v>
      </c>
      <c r="H112" s="1" t="s">
        <v>88</v>
      </c>
      <c r="I112" s="1" t="s">
        <v>53</v>
      </c>
      <c r="J112" s="1">
        <v>2.9</v>
      </c>
      <c r="K112" s="1" t="s">
        <v>286</v>
      </c>
      <c r="L112" s="1" t="s">
        <v>114</v>
      </c>
      <c r="M112" s="1" t="s">
        <v>91</v>
      </c>
      <c r="N112" s="1" t="s">
        <v>116</v>
      </c>
      <c r="O112" s="2">
        <v>45779</v>
      </c>
      <c r="P112" s="2">
        <v>45779</v>
      </c>
      <c r="Q112" s="1" t="b">
        <v>1</v>
      </c>
      <c r="R112" s="1">
        <v>8</v>
      </c>
      <c r="S112" s="1" t="b">
        <v>0</v>
      </c>
      <c r="U112" s="1" t="b">
        <v>0</v>
      </c>
      <c r="W112" s="1" t="b">
        <v>0</v>
      </c>
      <c r="Y112" s="1">
        <v>83</v>
      </c>
      <c r="Z112" s="1">
        <v>64</v>
      </c>
      <c r="AA112" s="1">
        <v>73</v>
      </c>
      <c r="AB112" s="1" t="b">
        <v>0</v>
      </c>
      <c r="AD112" s="1" t="b">
        <v>0</v>
      </c>
      <c r="AF112" s="1" t="s">
        <v>57</v>
      </c>
      <c r="AH112" s="1">
        <v>0</v>
      </c>
      <c r="AI112" s="1" t="s">
        <v>118</v>
      </c>
    </row>
    <row r="113" spans="1:35" ht="12.5" x14ac:dyDescent="0.25">
      <c r="A113" s="1">
        <v>109</v>
      </c>
      <c r="B113" s="1" t="s">
        <v>462</v>
      </c>
      <c r="C113" s="1" t="s">
        <v>463</v>
      </c>
      <c r="D113" s="1" t="s">
        <v>199</v>
      </c>
      <c r="E113" s="1" t="s">
        <v>52</v>
      </c>
      <c r="F113" s="1" t="s">
        <v>74</v>
      </c>
      <c r="G113" s="1" t="s">
        <v>139</v>
      </c>
      <c r="H113" s="1" t="s">
        <v>88</v>
      </c>
      <c r="I113" s="1" t="s">
        <v>42</v>
      </c>
      <c r="J113" s="1">
        <v>8.1</v>
      </c>
      <c r="K113" s="1" t="s">
        <v>67</v>
      </c>
      <c r="L113" s="1" t="s">
        <v>90</v>
      </c>
      <c r="M113" s="1" t="s">
        <v>146</v>
      </c>
      <c r="N113" s="1" t="s">
        <v>116</v>
      </c>
      <c r="O113" s="2">
        <v>45781</v>
      </c>
      <c r="P113" s="2">
        <v>45781</v>
      </c>
      <c r="Q113" s="1" t="b">
        <v>0</v>
      </c>
      <c r="S113" s="1" t="b">
        <v>0</v>
      </c>
      <c r="U113" s="1" t="b">
        <v>0</v>
      </c>
      <c r="W113" s="1" t="b">
        <v>0</v>
      </c>
      <c r="Y113" s="1">
        <v>59</v>
      </c>
      <c r="Z113" s="1">
        <v>76</v>
      </c>
      <c r="AA113" s="1">
        <v>77</v>
      </c>
      <c r="AB113" s="1" t="b">
        <v>0</v>
      </c>
      <c r="AD113" s="1" t="b">
        <v>0</v>
      </c>
      <c r="AF113" s="1" t="s">
        <v>77</v>
      </c>
      <c r="AG113" s="1" t="s">
        <v>69</v>
      </c>
      <c r="AH113" s="1">
        <v>0</v>
      </c>
      <c r="AI113" s="1" t="s">
        <v>70</v>
      </c>
    </row>
    <row r="114" spans="1:35" ht="12.5" hidden="1" x14ac:dyDescent="0.25">
      <c r="A114" s="1">
        <v>110</v>
      </c>
      <c r="B114" s="1" t="s">
        <v>464</v>
      </c>
      <c r="C114" s="1" t="s">
        <v>465</v>
      </c>
      <c r="D114" s="1" t="s">
        <v>466</v>
      </c>
      <c r="E114" s="1" t="s">
        <v>52</v>
      </c>
      <c r="F114" s="1" t="s">
        <v>111</v>
      </c>
      <c r="G114" s="1" t="s">
        <v>75</v>
      </c>
      <c r="H114" s="1" t="s">
        <v>41</v>
      </c>
      <c r="I114" s="1" t="s">
        <v>103</v>
      </c>
      <c r="J114" s="1">
        <v>8.6</v>
      </c>
      <c r="K114" s="1" t="s">
        <v>294</v>
      </c>
      <c r="L114" s="1" t="s">
        <v>55</v>
      </c>
      <c r="M114" s="1" t="s">
        <v>123</v>
      </c>
      <c r="N114" s="1" t="s">
        <v>92</v>
      </c>
      <c r="O114" s="2">
        <v>45767</v>
      </c>
      <c r="P114" s="2">
        <v>45772</v>
      </c>
      <c r="Q114" s="1" t="b">
        <v>1</v>
      </c>
      <c r="R114" s="1">
        <v>1</v>
      </c>
      <c r="S114" s="1" t="b">
        <v>1</v>
      </c>
      <c r="T114" s="2">
        <v>45779</v>
      </c>
      <c r="U114" s="1" t="b">
        <v>1</v>
      </c>
      <c r="V114" s="2">
        <v>45792</v>
      </c>
      <c r="W114" s="1" t="b">
        <v>1</v>
      </c>
      <c r="X114" s="2">
        <v>45801</v>
      </c>
      <c r="Y114" s="1">
        <v>86</v>
      </c>
      <c r="Z114" s="1">
        <v>91</v>
      </c>
      <c r="AA114" s="1">
        <v>75</v>
      </c>
      <c r="AB114" s="1" t="b">
        <v>1</v>
      </c>
      <c r="AC114" s="2">
        <v>45804</v>
      </c>
      <c r="AD114" s="1" t="b">
        <v>1</v>
      </c>
      <c r="AE114" s="2">
        <v>45810</v>
      </c>
      <c r="AF114" s="1" t="s">
        <v>134</v>
      </c>
      <c r="AH114" s="1">
        <v>43</v>
      </c>
      <c r="AI114" s="1" t="s">
        <v>135</v>
      </c>
    </row>
    <row r="115" spans="1:35" ht="12.5" hidden="1" x14ac:dyDescent="0.25">
      <c r="A115" s="1">
        <v>111</v>
      </c>
      <c r="B115" s="1" t="s">
        <v>467</v>
      </c>
      <c r="C115" s="1" t="s">
        <v>468</v>
      </c>
      <c r="D115" s="1" t="s">
        <v>311</v>
      </c>
      <c r="E115" s="1" t="s">
        <v>38</v>
      </c>
      <c r="F115" s="1" t="s">
        <v>63</v>
      </c>
      <c r="G115" s="1" t="s">
        <v>64</v>
      </c>
      <c r="H115" s="1" t="s">
        <v>88</v>
      </c>
      <c r="I115" s="1" t="s">
        <v>53</v>
      </c>
      <c r="J115" s="1">
        <v>5.6</v>
      </c>
      <c r="K115" s="1" t="s">
        <v>203</v>
      </c>
      <c r="L115" s="1" t="s">
        <v>55</v>
      </c>
      <c r="M115" s="1" t="s">
        <v>68</v>
      </c>
      <c r="N115" s="1" t="s">
        <v>116</v>
      </c>
      <c r="O115" s="2">
        <v>45764</v>
      </c>
      <c r="P115" s="2">
        <v>45766</v>
      </c>
      <c r="Q115" s="1" t="b">
        <v>1</v>
      </c>
      <c r="R115" s="1">
        <v>1</v>
      </c>
      <c r="S115" s="1" t="b">
        <v>1</v>
      </c>
      <c r="T115" s="2">
        <v>45775</v>
      </c>
      <c r="U115" s="1" t="b">
        <v>1</v>
      </c>
      <c r="V115" s="2">
        <v>45783</v>
      </c>
      <c r="W115" s="1" t="b">
        <v>1</v>
      </c>
      <c r="X115" s="2">
        <v>45784</v>
      </c>
      <c r="Y115" s="1">
        <v>72</v>
      </c>
      <c r="Z115" s="1">
        <v>71</v>
      </c>
      <c r="AA115" s="1">
        <v>70</v>
      </c>
      <c r="AB115" s="1" t="b">
        <v>1</v>
      </c>
      <c r="AC115" s="2">
        <v>45786</v>
      </c>
      <c r="AD115" s="1" t="b">
        <v>1</v>
      </c>
      <c r="AE115" s="2">
        <v>45793</v>
      </c>
      <c r="AF115" s="1" t="s">
        <v>134</v>
      </c>
      <c r="AH115" s="1">
        <v>29</v>
      </c>
      <c r="AI115" s="1" t="s">
        <v>135</v>
      </c>
    </row>
    <row r="116" spans="1:35" ht="12.5" hidden="1" x14ac:dyDescent="0.25">
      <c r="A116" s="1">
        <v>112</v>
      </c>
      <c r="B116" s="1" t="s">
        <v>469</v>
      </c>
      <c r="C116" s="1" t="s">
        <v>470</v>
      </c>
      <c r="D116" s="1" t="s">
        <v>81</v>
      </c>
      <c r="E116" s="1" t="s">
        <v>52</v>
      </c>
      <c r="F116" s="1" t="s">
        <v>74</v>
      </c>
      <c r="G116" s="1" t="s">
        <v>40</v>
      </c>
      <c r="H116" s="1" t="s">
        <v>88</v>
      </c>
      <c r="I116" s="1" t="s">
        <v>82</v>
      </c>
      <c r="J116" s="1">
        <v>3.2</v>
      </c>
      <c r="K116" s="1" t="s">
        <v>360</v>
      </c>
      <c r="L116" s="1" t="s">
        <v>55</v>
      </c>
      <c r="M116" s="1" t="s">
        <v>56</v>
      </c>
      <c r="N116" s="1" t="s">
        <v>92</v>
      </c>
      <c r="O116" s="2">
        <v>45666</v>
      </c>
      <c r="P116" s="2">
        <v>45666</v>
      </c>
      <c r="Q116" s="1" t="b">
        <v>1</v>
      </c>
      <c r="R116" s="1">
        <v>0</v>
      </c>
      <c r="S116" s="1" t="b">
        <v>1</v>
      </c>
      <c r="T116" s="2">
        <v>45671</v>
      </c>
      <c r="U116" s="1" t="b">
        <v>1</v>
      </c>
      <c r="V116" s="2">
        <v>45684</v>
      </c>
      <c r="W116" s="1" t="b">
        <v>1</v>
      </c>
      <c r="X116" s="2">
        <v>45690</v>
      </c>
      <c r="Y116" s="1">
        <v>67</v>
      </c>
      <c r="Z116" s="1">
        <v>64</v>
      </c>
      <c r="AA116" s="1">
        <v>52</v>
      </c>
      <c r="AB116" s="1" t="b">
        <v>0</v>
      </c>
      <c r="AD116" s="1" t="b">
        <v>0</v>
      </c>
      <c r="AF116" s="1" t="s">
        <v>47</v>
      </c>
      <c r="AH116" s="1">
        <v>24</v>
      </c>
      <c r="AI116" s="1" t="s">
        <v>215</v>
      </c>
    </row>
    <row r="117" spans="1:35" ht="12.5" hidden="1" x14ac:dyDescent="0.25">
      <c r="A117" s="1">
        <v>113</v>
      </c>
      <c r="B117" s="1" t="s">
        <v>471</v>
      </c>
      <c r="C117" s="1" t="s">
        <v>472</v>
      </c>
      <c r="D117" s="1" t="s">
        <v>473</v>
      </c>
      <c r="E117" s="1" t="s">
        <v>38</v>
      </c>
      <c r="F117" s="1" t="s">
        <v>39</v>
      </c>
      <c r="G117" s="1" t="s">
        <v>139</v>
      </c>
      <c r="H117" s="1" t="s">
        <v>65</v>
      </c>
      <c r="I117" s="1" t="s">
        <v>82</v>
      </c>
      <c r="J117" s="1">
        <v>3.3</v>
      </c>
      <c r="K117" s="1" t="s">
        <v>368</v>
      </c>
      <c r="L117" s="1" t="s">
        <v>90</v>
      </c>
      <c r="M117" s="1" t="s">
        <v>123</v>
      </c>
      <c r="N117" s="1" t="s">
        <v>46</v>
      </c>
      <c r="O117" s="2">
        <v>45753</v>
      </c>
      <c r="P117" s="2">
        <v>45754</v>
      </c>
      <c r="Q117" s="1" t="b">
        <v>1</v>
      </c>
      <c r="R117" s="1">
        <v>6</v>
      </c>
      <c r="S117" s="1" t="b">
        <v>0</v>
      </c>
      <c r="U117" s="1" t="b">
        <v>0</v>
      </c>
      <c r="W117" s="1" t="b">
        <v>0</v>
      </c>
      <c r="Y117" s="1">
        <v>57</v>
      </c>
      <c r="Z117" s="1">
        <v>70</v>
      </c>
      <c r="AA117" s="1">
        <v>63</v>
      </c>
      <c r="AB117" s="1" t="b">
        <v>0</v>
      </c>
      <c r="AD117" s="1" t="b">
        <v>0</v>
      </c>
      <c r="AF117" s="1" t="s">
        <v>57</v>
      </c>
      <c r="AH117" s="1">
        <v>1</v>
      </c>
      <c r="AI117" s="1" t="s">
        <v>118</v>
      </c>
    </row>
    <row r="118" spans="1:35" ht="12.5" hidden="1" x14ac:dyDescent="0.25">
      <c r="A118" s="1">
        <v>114</v>
      </c>
      <c r="B118" s="1" t="s">
        <v>474</v>
      </c>
      <c r="C118" s="1" t="s">
        <v>475</v>
      </c>
      <c r="D118" s="1" t="s">
        <v>338</v>
      </c>
      <c r="E118" s="1" t="s">
        <v>38</v>
      </c>
      <c r="F118" s="1" t="s">
        <v>74</v>
      </c>
      <c r="G118" s="1" t="s">
        <v>40</v>
      </c>
      <c r="H118" s="1" t="s">
        <v>88</v>
      </c>
      <c r="I118" s="1" t="s">
        <v>42</v>
      </c>
      <c r="J118" s="1">
        <v>9.9</v>
      </c>
      <c r="K118" s="1" t="s">
        <v>476</v>
      </c>
      <c r="L118" s="1" t="s">
        <v>55</v>
      </c>
      <c r="M118" s="1" t="s">
        <v>56</v>
      </c>
      <c r="N118" s="1" t="s">
        <v>46</v>
      </c>
      <c r="O118" s="2">
        <v>45726</v>
      </c>
      <c r="P118" s="2">
        <v>45729</v>
      </c>
      <c r="Q118" s="1" t="b">
        <v>1</v>
      </c>
      <c r="R118" s="1">
        <v>5</v>
      </c>
      <c r="S118" s="1" t="b">
        <v>0</v>
      </c>
      <c r="U118" s="1" t="b">
        <v>0</v>
      </c>
      <c r="W118" s="1" t="b">
        <v>0</v>
      </c>
      <c r="Y118" s="1">
        <v>72</v>
      </c>
      <c r="Z118" s="1">
        <v>75</v>
      </c>
      <c r="AA118" s="1">
        <v>70</v>
      </c>
      <c r="AB118" s="1" t="b">
        <v>0</v>
      </c>
      <c r="AD118" s="1" t="b">
        <v>0</v>
      </c>
      <c r="AF118" s="1" t="s">
        <v>57</v>
      </c>
      <c r="AG118" s="1" t="s">
        <v>207</v>
      </c>
      <c r="AH118" s="1">
        <v>3</v>
      </c>
      <c r="AI118" s="1" t="s">
        <v>70</v>
      </c>
    </row>
    <row r="119" spans="1:35" ht="12.5" x14ac:dyDescent="0.25">
      <c r="A119" s="1">
        <v>115</v>
      </c>
      <c r="B119" s="1" t="s">
        <v>477</v>
      </c>
      <c r="C119" s="1" t="s">
        <v>478</v>
      </c>
      <c r="D119" s="1" t="s">
        <v>322</v>
      </c>
      <c r="E119" s="1" t="s">
        <v>52</v>
      </c>
      <c r="F119" s="1" t="s">
        <v>63</v>
      </c>
      <c r="G119" s="1" t="s">
        <v>40</v>
      </c>
      <c r="H119" s="1" t="s">
        <v>41</v>
      </c>
      <c r="I119" s="1" t="s">
        <v>42</v>
      </c>
      <c r="J119" s="1">
        <v>7.5</v>
      </c>
      <c r="K119" s="1" t="s">
        <v>196</v>
      </c>
      <c r="L119" s="1" t="s">
        <v>67</v>
      </c>
      <c r="M119" s="1" t="s">
        <v>123</v>
      </c>
      <c r="N119" s="1" t="s">
        <v>92</v>
      </c>
      <c r="O119" s="2">
        <v>45730</v>
      </c>
      <c r="P119" s="2">
        <v>45734</v>
      </c>
      <c r="Q119" s="1" t="b">
        <v>1</v>
      </c>
      <c r="R119" s="1">
        <v>11</v>
      </c>
      <c r="S119" s="1" t="b">
        <v>1</v>
      </c>
      <c r="T119" s="2">
        <v>45739</v>
      </c>
      <c r="U119" s="1" t="b">
        <v>0</v>
      </c>
      <c r="W119" s="1" t="b">
        <v>0</v>
      </c>
      <c r="Y119" s="1">
        <v>79</v>
      </c>
      <c r="Z119" s="1">
        <v>74</v>
      </c>
      <c r="AA119" s="1">
        <v>66</v>
      </c>
      <c r="AB119" s="1" t="b">
        <v>0</v>
      </c>
      <c r="AD119" s="1" t="b">
        <v>0</v>
      </c>
      <c r="AF119" s="1" t="s">
        <v>151</v>
      </c>
      <c r="AG119" s="1" t="s">
        <v>69</v>
      </c>
      <c r="AH119" s="1">
        <v>9</v>
      </c>
      <c r="AI119" s="1" t="s">
        <v>58</v>
      </c>
    </row>
    <row r="120" spans="1:35" ht="12.5" hidden="1" x14ac:dyDescent="0.25">
      <c r="A120" s="1">
        <v>116</v>
      </c>
      <c r="B120" s="1" t="s">
        <v>479</v>
      </c>
      <c r="C120" s="1" t="s">
        <v>480</v>
      </c>
      <c r="D120" s="1" t="s">
        <v>267</v>
      </c>
      <c r="E120" s="1" t="s">
        <v>52</v>
      </c>
      <c r="F120" s="1" t="s">
        <v>74</v>
      </c>
      <c r="G120" s="1" t="s">
        <v>97</v>
      </c>
      <c r="H120" s="1" t="s">
        <v>88</v>
      </c>
      <c r="I120" s="1" t="s">
        <v>53</v>
      </c>
      <c r="J120" s="1">
        <v>4.5</v>
      </c>
      <c r="K120" s="1" t="s">
        <v>43</v>
      </c>
      <c r="L120" s="1" t="s">
        <v>141</v>
      </c>
      <c r="M120" s="1" t="s">
        <v>45</v>
      </c>
      <c r="N120" s="1" t="s">
        <v>92</v>
      </c>
      <c r="O120" s="2">
        <v>45779</v>
      </c>
      <c r="P120" s="2">
        <v>45781</v>
      </c>
      <c r="Q120" s="1" t="b">
        <v>1</v>
      </c>
      <c r="R120" s="1">
        <v>11</v>
      </c>
      <c r="S120" s="1" t="b">
        <v>1</v>
      </c>
      <c r="T120" s="2">
        <v>45790</v>
      </c>
      <c r="U120" s="1" t="b">
        <v>0</v>
      </c>
      <c r="W120" s="1" t="b">
        <v>0</v>
      </c>
      <c r="Y120" s="1">
        <v>69</v>
      </c>
      <c r="Z120" s="1">
        <v>60</v>
      </c>
      <c r="AA120" s="1">
        <v>61</v>
      </c>
      <c r="AB120" s="1" t="b">
        <v>0</v>
      </c>
      <c r="AD120" s="1" t="b">
        <v>0</v>
      </c>
      <c r="AF120" s="1" t="s">
        <v>151</v>
      </c>
      <c r="AG120" s="1" t="s">
        <v>361</v>
      </c>
      <c r="AH120" s="1">
        <v>11</v>
      </c>
      <c r="AI120" s="1" t="s">
        <v>58</v>
      </c>
    </row>
    <row r="121" spans="1:35" ht="12.5" x14ac:dyDescent="0.25">
      <c r="A121" s="1">
        <v>117</v>
      </c>
      <c r="B121" s="1" t="s">
        <v>481</v>
      </c>
      <c r="C121" s="1" t="s">
        <v>482</v>
      </c>
      <c r="D121" s="1" t="s">
        <v>483</v>
      </c>
      <c r="E121" s="1" t="s">
        <v>38</v>
      </c>
      <c r="F121" s="1" t="s">
        <v>111</v>
      </c>
      <c r="G121" s="1" t="s">
        <v>40</v>
      </c>
      <c r="H121" s="1" t="s">
        <v>65</v>
      </c>
      <c r="I121" s="1" t="s">
        <v>42</v>
      </c>
      <c r="J121" s="1">
        <v>7.3</v>
      </c>
      <c r="K121" s="1" t="s">
        <v>422</v>
      </c>
      <c r="L121" s="1" t="s">
        <v>141</v>
      </c>
      <c r="M121" s="1" t="s">
        <v>45</v>
      </c>
      <c r="N121" s="1" t="s">
        <v>84</v>
      </c>
      <c r="O121" s="2">
        <v>45720</v>
      </c>
      <c r="P121" s="2">
        <v>45721</v>
      </c>
      <c r="Q121" s="1" t="b">
        <v>0</v>
      </c>
      <c r="S121" s="1" t="b">
        <v>0</v>
      </c>
      <c r="U121" s="1" t="b">
        <v>0</v>
      </c>
      <c r="W121" s="1" t="b">
        <v>0</v>
      </c>
      <c r="Y121" s="1">
        <v>83</v>
      </c>
      <c r="Z121" s="1">
        <v>86</v>
      </c>
      <c r="AA121" s="1">
        <v>87</v>
      </c>
      <c r="AB121" s="1" t="b">
        <v>0</v>
      </c>
      <c r="AD121" s="1" t="b">
        <v>0</v>
      </c>
      <c r="AF121" s="1" t="s">
        <v>77</v>
      </c>
      <c r="AG121" s="1" t="s">
        <v>69</v>
      </c>
      <c r="AH121" s="1">
        <v>1</v>
      </c>
      <c r="AI121" s="1" t="s">
        <v>78</v>
      </c>
    </row>
    <row r="122" spans="1:35" ht="12.5" hidden="1" x14ac:dyDescent="0.25">
      <c r="A122" s="1">
        <v>118</v>
      </c>
      <c r="B122" s="1" t="s">
        <v>484</v>
      </c>
      <c r="C122" s="1" t="s">
        <v>485</v>
      </c>
      <c r="D122" s="1" t="s">
        <v>205</v>
      </c>
      <c r="E122" s="1" t="s">
        <v>102</v>
      </c>
      <c r="F122" s="1" t="s">
        <v>111</v>
      </c>
      <c r="G122" s="1" t="s">
        <v>97</v>
      </c>
      <c r="H122" s="1" t="s">
        <v>88</v>
      </c>
      <c r="I122" s="1" t="s">
        <v>82</v>
      </c>
      <c r="J122" s="1">
        <v>0.5</v>
      </c>
      <c r="K122" s="1" t="s">
        <v>486</v>
      </c>
      <c r="L122" s="1" t="s">
        <v>114</v>
      </c>
      <c r="M122" s="1" t="s">
        <v>45</v>
      </c>
      <c r="N122" s="1" t="s">
        <v>92</v>
      </c>
      <c r="O122" s="2">
        <v>45735</v>
      </c>
      <c r="P122" s="2">
        <v>45740</v>
      </c>
      <c r="Q122" s="1" t="b">
        <v>1</v>
      </c>
      <c r="R122" s="1">
        <v>6</v>
      </c>
      <c r="S122" s="1" t="b">
        <v>1</v>
      </c>
      <c r="T122" s="2">
        <v>45744</v>
      </c>
      <c r="U122" s="1" t="b">
        <v>0</v>
      </c>
      <c r="W122" s="1" t="b">
        <v>0</v>
      </c>
      <c r="Y122" s="1">
        <v>61</v>
      </c>
      <c r="Z122" s="1">
        <v>64</v>
      </c>
      <c r="AA122" s="1">
        <v>62</v>
      </c>
      <c r="AB122" s="1" t="b">
        <v>0</v>
      </c>
      <c r="AD122" s="1" t="b">
        <v>0</v>
      </c>
      <c r="AF122" s="1" t="s">
        <v>151</v>
      </c>
      <c r="AH122" s="1">
        <v>9</v>
      </c>
      <c r="AI122" s="1" t="s">
        <v>135</v>
      </c>
    </row>
    <row r="123" spans="1:35" ht="12.5" hidden="1" x14ac:dyDescent="0.25">
      <c r="A123" s="1">
        <v>119</v>
      </c>
      <c r="B123" s="1" t="s">
        <v>487</v>
      </c>
      <c r="C123" s="1" t="s">
        <v>488</v>
      </c>
      <c r="D123" s="1" t="s">
        <v>348</v>
      </c>
      <c r="E123" s="1" t="s">
        <v>62</v>
      </c>
      <c r="F123" s="1" t="s">
        <v>111</v>
      </c>
      <c r="G123" s="1" t="s">
        <v>75</v>
      </c>
      <c r="H123" s="1" t="s">
        <v>88</v>
      </c>
      <c r="I123" s="1" t="s">
        <v>82</v>
      </c>
      <c r="J123" s="1">
        <v>4.3</v>
      </c>
      <c r="K123" s="1" t="s">
        <v>206</v>
      </c>
      <c r="L123" s="1" t="s">
        <v>141</v>
      </c>
      <c r="M123" s="1" t="s">
        <v>68</v>
      </c>
      <c r="N123" s="1" t="s">
        <v>116</v>
      </c>
      <c r="O123" s="2">
        <v>45735</v>
      </c>
      <c r="P123" s="2">
        <v>45739</v>
      </c>
      <c r="Q123" s="1" t="b">
        <v>1</v>
      </c>
      <c r="R123" s="1">
        <v>2</v>
      </c>
      <c r="S123" s="1" t="b">
        <v>1</v>
      </c>
      <c r="T123" s="2">
        <v>45746</v>
      </c>
      <c r="U123" s="1" t="b">
        <v>0</v>
      </c>
      <c r="W123" s="1" t="b">
        <v>0</v>
      </c>
      <c r="Y123" s="1">
        <v>31</v>
      </c>
      <c r="Z123" s="1">
        <v>65</v>
      </c>
      <c r="AA123" s="1">
        <v>55</v>
      </c>
      <c r="AB123" s="1" t="b">
        <v>0</v>
      </c>
      <c r="AD123" s="1" t="b">
        <v>0</v>
      </c>
      <c r="AF123" s="1" t="s">
        <v>151</v>
      </c>
      <c r="AG123" s="1" t="s">
        <v>287</v>
      </c>
      <c r="AH123" s="1">
        <v>11</v>
      </c>
      <c r="AI123" s="1" t="s">
        <v>215</v>
      </c>
    </row>
    <row r="124" spans="1:35" ht="12.5" hidden="1" x14ac:dyDescent="0.25">
      <c r="A124" s="1">
        <v>120</v>
      </c>
      <c r="B124" s="1" t="s">
        <v>489</v>
      </c>
      <c r="C124" s="1" t="s">
        <v>490</v>
      </c>
      <c r="D124" s="1" t="s">
        <v>267</v>
      </c>
      <c r="E124" s="1" t="s">
        <v>102</v>
      </c>
      <c r="F124" s="1" t="s">
        <v>74</v>
      </c>
      <c r="G124" s="1" t="s">
        <v>97</v>
      </c>
      <c r="H124" s="1" t="s">
        <v>88</v>
      </c>
      <c r="I124" s="1" t="s">
        <v>42</v>
      </c>
      <c r="J124" s="1">
        <v>7</v>
      </c>
      <c r="K124" s="1" t="s">
        <v>104</v>
      </c>
      <c r="L124" s="1" t="s">
        <v>114</v>
      </c>
      <c r="M124" s="1" t="s">
        <v>91</v>
      </c>
      <c r="N124" s="1" t="s">
        <v>84</v>
      </c>
      <c r="O124" s="2">
        <v>45745</v>
      </c>
      <c r="P124" s="2">
        <v>45745</v>
      </c>
      <c r="Q124" s="1" t="b">
        <v>1</v>
      </c>
      <c r="R124" s="1">
        <v>11</v>
      </c>
      <c r="S124" s="1" t="b">
        <v>1</v>
      </c>
      <c r="T124" s="2">
        <v>45747</v>
      </c>
      <c r="U124" s="1" t="b">
        <v>1</v>
      </c>
      <c r="V124" s="2">
        <v>45752</v>
      </c>
      <c r="W124" s="1" t="b">
        <v>1</v>
      </c>
      <c r="X124" s="2">
        <v>45755</v>
      </c>
      <c r="Y124" s="1">
        <v>66</v>
      </c>
      <c r="Z124" s="1">
        <v>73</v>
      </c>
      <c r="AA124" s="1">
        <v>70</v>
      </c>
      <c r="AB124" s="1" t="b">
        <v>0</v>
      </c>
      <c r="AD124" s="1" t="b">
        <v>0</v>
      </c>
      <c r="AF124" s="1" t="s">
        <v>47</v>
      </c>
      <c r="AH124" s="1">
        <v>10</v>
      </c>
      <c r="AI124" s="1" t="s">
        <v>118</v>
      </c>
    </row>
    <row r="125" spans="1:35" ht="12.5" x14ac:dyDescent="0.25">
      <c r="A125" s="1">
        <v>121</v>
      </c>
      <c r="B125" s="1" t="s">
        <v>491</v>
      </c>
      <c r="C125" s="1" t="s">
        <v>492</v>
      </c>
      <c r="D125" s="1" t="s">
        <v>405</v>
      </c>
      <c r="E125" s="1" t="s">
        <v>38</v>
      </c>
      <c r="F125" s="1" t="s">
        <v>74</v>
      </c>
      <c r="G125" s="1" t="s">
        <v>97</v>
      </c>
      <c r="H125" s="1" t="s">
        <v>41</v>
      </c>
      <c r="I125" s="1" t="s">
        <v>53</v>
      </c>
      <c r="J125" s="1">
        <v>7.8</v>
      </c>
      <c r="K125" s="1" t="s">
        <v>242</v>
      </c>
      <c r="L125" s="1" t="s">
        <v>141</v>
      </c>
      <c r="M125" s="1" t="s">
        <v>123</v>
      </c>
      <c r="N125" s="1" t="s">
        <v>92</v>
      </c>
      <c r="O125" s="2">
        <v>45760</v>
      </c>
      <c r="P125" s="2">
        <v>45764</v>
      </c>
      <c r="Q125" s="1" t="b">
        <v>0</v>
      </c>
      <c r="S125" s="1" t="b">
        <v>0</v>
      </c>
      <c r="U125" s="1" t="b">
        <v>0</v>
      </c>
      <c r="W125" s="1" t="b">
        <v>0</v>
      </c>
      <c r="Y125" s="1">
        <v>66</v>
      </c>
      <c r="Z125" s="1">
        <v>76</v>
      </c>
      <c r="AA125" s="1">
        <v>69</v>
      </c>
      <c r="AB125" s="1" t="b">
        <v>0</v>
      </c>
      <c r="AD125" s="1" t="b">
        <v>0</v>
      </c>
      <c r="AF125" s="1" t="s">
        <v>77</v>
      </c>
      <c r="AG125" s="1" t="s">
        <v>69</v>
      </c>
      <c r="AH125" s="1">
        <v>4</v>
      </c>
      <c r="AI125" s="1" t="s">
        <v>58</v>
      </c>
    </row>
    <row r="126" spans="1:35" ht="12.5" hidden="1" x14ac:dyDescent="0.25">
      <c r="A126" s="1">
        <v>122</v>
      </c>
      <c r="B126" s="1" t="s">
        <v>493</v>
      </c>
      <c r="C126" s="1" t="s">
        <v>494</v>
      </c>
      <c r="D126" s="1" t="s">
        <v>249</v>
      </c>
      <c r="E126" s="1" t="s">
        <v>102</v>
      </c>
      <c r="F126" s="1" t="s">
        <v>74</v>
      </c>
      <c r="G126" s="1" t="s">
        <v>112</v>
      </c>
      <c r="H126" s="1" t="s">
        <v>41</v>
      </c>
      <c r="I126" s="1" t="s">
        <v>53</v>
      </c>
      <c r="J126" s="1">
        <v>5.6</v>
      </c>
      <c r="K126" s="1" t="s">
        <v>238</v>
      </c>
      <c r="L126" s="1" t="s">
        <v>55</v>
      </c>
      <c r="M126" s="1" t="s">
        <v>91</v>
      </c>
      <c r="N126" s="1" t="s">
        <v>84</v>
      </c>
      <c r="O126" s="2">
        <v>45734</v>
      </c>
      <c r="P126" s="2">
        <v>45740</v>
      </c>
      <c r="Q126" s="1" t="b">
        <v>1</v>
      </c>
      <c r="R126" s="1">
        <v>7</v>
      </c>
      <c r="S126" s="1" t="b">
        <v>0</v>
      </c>
      <c r="U126" s="1" t="b">
        <v>0</v>
      </c>
      <c r="W126" s="1" t="b">
        <v>0</v>
      </c>
      <c r="Y126" s="1">
        <v>70</v>
      </c>
      <c r="Z126" s="1">
        <v>72</v>
      </c>
      <c r="AA126" s="1">
        <v>65</v>
      </c>
      <c r="AB126" s="1" t="b">
        <v>0</v>
      </c>
      <c r="AD126" s="1" t="b">
        <v>0</v>
      </c>
      <c r="AF126" s="1" t="s">
        <v>57</v>
      </c>
      <c r="AG126" s="1" t="s">
        <v>361</v>
      </c>
      <c r="AH126" s="1">
        <v>6</v>
      </c>
      <c r="AI126" s="1" t="s">
        <v>93</v>
      </c>
    </row>
    <row r="127" spans="1:35" ht="12.5" hidden="1" x14ac:dyDescent="0.25">
      <c r="A127" s="1">
        <v>123</v>
      </c>
      <c r="B127" s="1" t="s">
        <v>495</v>
      </c>
      <c r="C127" s="1" t="s">
        <v>496</v>
      </c>
      <c r="D127" s="1" t="s">
        <v>497</v>
      </c>
      <c r="E127" s="1" t="s">
        <v>62</v>
      </c>
      <c r="F127" s="1" t="s">
        <v>39</v>
      </c>
      <c r="G127" s="1" t="s">
        <v>139</v>
      </c>
      <c r="H127" s="1" t="s">
        <v>65</v>
      </c>
      <c r="I127" s="1" t="s">
        <v>53</v>
      </c>
      <c r="J127" s="1">
        <v>6.3</v>
      </c>
      <c r="K127" s="1" t="s">
        <v>192</v>
      </c>
      <c r="L127" s="1" t="s">
        <v>44</v>
      </c>
      <c r="M127" s="1" t="s">
        <v>123</v>
      </c>
      <c r="N127" s="1" t="s">
        <v>84</v>
      </c>
      <c r="O127" s="2">
        <v>45775</v>
      </c>
      <c r="P127" s="2">
        <v>45783</v>
      </c>
      <c r="Q127" s="1" t="b">
        <v>1</v>
      </c>
      <c r="R127" s="1">
        <v>9</v>
      </c>
      <c r="S127" s="1" t="b">
        <v>1</v>
      </c>
      <c r="T127" s="2">
        <v>45789</v>
      </c>
      <c r="U127" s="1" t="b">
        <v>0</v>
      </c>
      <c r="W127" s="1" t="b">
        <v>0</v>
      </c>
      <c r="Y127" s="1">
        <v>79</v>
      </c>
      <c r="Z127" s="1">
        <v>74</v>
      </c>
      <c r="AA127" s="1">
        <v>76</v>
      </c>
      <c r="AB127" s="1" t="b">
        <v>0</v>
      </c>
      <c r="AD127" s="1" t="b">
        <v>0</v>
      </c>
      <c r="AF127" s="1" t="s">
        <v>151</v>
      </c>
      <c r="AH127" s="1">
        <v>14</v>
      </c>
      <c r="AI127" s="1" t="s">
        <v>93</v>
      </c>
    </row>
    <row r="128" spans="1:35" ht="12.5" x14ac:dyDescent="0.25">
      <c r="A128" s="1">
        <v>124</v>
      </c>
      <c r="B128" s="1" t="s">
        <v>498</v>
      </c>
      <c r="C128" s="1" t="s">
        <v>499</v>
      </c>
      <c r="D128" s="1" t="s">
        <v>500</v>
      </c>
      <c r="E128" s="1" t="s">
        <v>62</v>
      </c>
      <c r="F128" s="1" t="s">
        <v>39</v>
      </c>
      <c r="G128" s="1" t="s">
        <v>139</v>
      </c>
      <c r="H128" s="1" t="s">
        <v>88</v>
      </c>
      <c r="I128" s="1" t="s">
        <v>42</v>
      </c>
      <c r="J128" s="1">
        <v>7.7</v>
      </c>
      <c r="K128" s="1" t="s">
        <v>283</v>
      </c>
      <c r="L128" s="1" t="s">
        <v>67</v>
      </c>
      <c r="M128" s="1" t="s">
        <v>115</v>
      </c>
      <c r="N128" s="1" t="s">
        <v>116</v>
      </c>
      <c r="O128" s="2">
        <v>45668</v>
      </c>
      <c r="P128" s="2">
        <v>45668</v>
      </c>
      <c r="Q128" s="1" t="b">
        <v>0</v>
      </c>
      <c r="S128" s="1" t="b">
        <v>0</v>
      </c>
      <c r="U128" s="1" t="b">
        <v>0</v>
      </c>
      <c r="W128" s="1" t="b">
        <v>0</v>
      </c>
      <c r="Y128" s="1">
        <v>92</v>
      </c>
      <c r="Z128" s="1">
        <v>74</v>
      </c>
      <c r="AA128" s="1">
        <v>90</v>
      </c>
      <c r="AB128" s="1" t="b">
        <v>0</v>
      </c>
      <c r="AD128" s="1" t="b">
        <v>0</v>
      </c>
      <c r="AF128" s="1" t="s">
        <v>77</v>
      </c>
      <c r="AG128" s="1" t="s">
        <v>69</v>
      </c>
      <c r="AH128" s="1">
        <v>0</v>
      </c>
      <c r="AI128" s="1" t="s">
        <v>215</v>
      </c>
    </row>
    <row r="129" spans="1:35" ht="12.5" hidden="1" x14ac:dyDescent="0.25">
      <c r="A129" s="1">
        <v>125</v>
      </c>
      <c r="B129" s="1" t="s">
        <v>501</v>
      </c>
      <c r="C129" s="1" t="s">
        <v>502</v>
      </c>
      <c r="D129" s="1" t="s">
        <v>174</v>
      </c>
      <c r="E129" s="1" t="s">
        <v>62</v>
      </c>
      <c r="F129" s="1" t="s">
        <v>39</v>
      </c>
      <c r="G129" s="1" t="s">
        <v>40</v>
      </c>
      <c r="H129" s="1" t="s">
        <v>65</v>
      </c>
      <c r="I129" s="1" t="s">
        <v>53</v>
      </c>
      <c r="J129" s="1">
        <v>0</v>
      </c>
      <c r="K129" s="1" t="s">
        <v>272</v>
      </c>
      <c r="L129" s="1" t="s">
        <v>67</v>
      </c>
      <c r="M129" s="1" t="s">
        <v>146</v>
      </c>
      <c r="N129" s="1" t="s">
        <v>84</v>
      </c>
      <c r="O129" s="2">
        <v>45793</v>
      </c>
      <c r="P129" s="2">
        <v>45793</v>
      </c>
      <c r="Q129" s="1" t="b">
        <v>1</v>
      </c>
      <c r="R129" s="1">
        <v>9</v>
      </c>
      <c r="S129" s="1" t="b">
        <v>0</v>
      </c>
      <c r="U129" s="1" t="b">
        <v>0</v>
      </c>
      <c r="W129" s="1" t="b">
        <v>0</v>
      </c>
      <c r="Y129" s="1">
        <v>83</v>
      </c>
      <c r="Z129" s="1">
        <v>62</v>
      </c>
      <c r="AA129" s="1">
        <v>60</v>
      </c>
      <c r="AB129" s="1" t="b">
        <v>0</v>
      </c>
      <c r="AD129" s="1" t="b">
        <v>0</v>
      </c>
      <c r="AF129" s="1" t="s">
        <v>57</v>
      </c>
      <c r="AH129" s="1">
        <v>0</v>
      </c>
      <c r="AI129" s="1" t="s">
        <v>58</v>
      </c>
    </row>
    <row r="130" spans="1:35" ht="12.5" hidden="1" x14ac:dyDescent="0.25">
      <c r="A130" s="1">
        <v>126</v>
      </c>
      <c r="B130" s="1" t="s">
        <v>503</v>
      </c>
      <c r="C130" s="1" t="s">
        <v>504</v>
      </c>
      <c r="D130" s="1" t="s">
        <v>505</v>
      </c>
      <c r="E130" s="1" t="s">
        <v>102</v>
      </c>
      <c r="F130" s="1" t="s">
        <v>39</v>
      </c>
      <c r="G130" s="1" t="s">
        <v>75</v>
      </c>
      <c r="H130" s="1" t="s">
        <v>88</v>
      </c>
      <c r="I130" s="1" t="s">
        <v>53</v>
      </c>
      <c r="J130" s="1">
        <v>3.8</v>
      </c>
      <c r="K130" s="1" t="s">
        <v>459</v>
      </c>
      <c r="L130" s="1" t="s">
        <v>114</v>
      </c>
      <c r="M130" s="1" t="s">
        <v>56</v>
      </c>
      <c r="N130" s="1" t="s">
        <v>92</v>
      </c>
      <c r="O130" s="2">
        <v>45775</v>
      </c>
      <c r="P130" s="2">
        <v>45775</v>
      </c>
      <c r="Q130" s="1" t="b">
        <v>1</v>
      </c>
      <c r="R130" s="1">
        <v>10</v>
      </c>
      <c r="S130" s="1" t="b">
        <v>1</v>
      </c>
      <c r="T130" s="2">
        <v>45779</v>
      </c>
      <c r="U130" s="1" t="b">
        <v>1</v>
      </c>
      <c r="V130" s="2">
        <v>45788</v>
      </c>
      <c r="W130" s="1" t="b">
        <v>1</v>
      </c>
      <c r="X130" s="2">
        <v>45789</v>
      </c>
      <c r="Y130" s="1">
        <v>90</v>
      </c>
      <c r="Z130" s="1">
        <v>79</v>
      </c>
      <c r="AA130" s="1">
        <v>77</v>
      </c>
      <c r="AB130" s="1" t="b">
        <v>1</v>
      </c>
      <c r="AC130" s="2">
        <v>45790</v>
      </c>
      <c r="AD130" s="1" t="b">
        <v>1</v>
      </c>
      <c r="AE130" s="2">
        <v>45793</v>
      </c>
      <c r="AF130" s="1" t="s">
        <v>134</v>
      </c>
      <c r="AH130" s="1">
        <v>18</v>
      </c>
      <c r="AI130" s="1" t="s">
        <v>78</v>
      </c>
    </row>
    <row r="131" spans="1:35" ht="12.5" x14ac:dyDescent="0.25">
      <c r="A131" s="1">
        <v>127</v>
      </c>
      <c r="B131" s="1" t="s">
        <v>506</v>
      </c>
      <c r="C131" s="1" t="s">
        <v>507</v>
      </c>
      <c r="D131" s="1" t="s">
        <v>508</v>
      </c>
      <c r="E131" s="1" t="s">
        <v>62</v>
      </c>
      <c r="F131" s="1" t="s">
        <v>111</v>
      </c>
      <c r="G131" s="1" t="s">
        <v>75</v>
      </c>
      <c r="H131" s="1" t="s">
        <v>41</v>
      </c>
      <c r="I131" s="1" t="s">
        <v>42</v>
      </c>
      <c r="J131" s="1">
        <v>6.6</v>
      </c>
      <c r="K131" s="1" t="s">
        <v>509</v>
      </c>
      <c r="L131" s="1" t="s">
        <v>90</v>
      </c>
      <c r="M131" s="1" t="s">
        <v>45</v>
      </c>
      <c r="N131" s="1" t="s">
        <v>46</v>
      </c>
      <c r="O131" s="2">
        <v>45662</v>
      </c>
      <c r="P131" s="2">
        <v>45671</v>
      </c>
      <c r="Q131" s="1" t="b">
        <v>0</v>
      </c>
      <c r="S131" s="1" t="b">
        <v>0</v>
      </c>
      <c r="U131" s="1" t="b">
        <v>0</v>
      </c>
      <c r="W131" s="1" t="b">
        <v>0</v>
      </c>
      <c r="Y131" s="1">
        <v>100</v>
      </c>
      <c r="Z131" s="1">
        <v>89</v>
      </c>
      <c r="AA131" s="1">
        <v>96</v>
      </c>
      <c r="AB131" s="1" t="b">
        <v>0</v>
      </c>
      <c r="AD131" s="1" t="b">
        <v>0</v>
      </c>
      <c r="AF131" s="1" t="s">
        <v>77</v>
      </c>
      <c r="AG131" s="1" t="s">
        <v>69</v>
      </c>
      <c r="AH131" s="1">
        <v>9</v>
      </c>
      <c r="AI131" s="1" t="s">
        <v>135</v>
      </c>
    </row>
    <row r="132" spans="1:35" ht="12.5" hidden="1" x14ac:dyDescent="0.25">
      <c r="A132" s="1">
        <v>128</v>
      </c>
      <c r="B132" s="1" t="s">
        <v>510</v>
      </c>
      <c r="C132" s="1" t="s">
        <v>511</v>
      </c>
      <c r="D132" s="1" t="s">
        <v>305</v>
      </c>
      <c r="E132" s="1" t="s">
        <v>62</v>
      </c>
      <c r="F132" s="1" t="s">
        <v>63</v>
      </c>
      <c r="G132" s="1" t="s">
        <v>75</v>
      </c>
      <c r="H132" s="1" t="s">
        <v>41</v>
      </c>
      <c r="I132" s="1" t="s">
        <v>53</v>
      </c>
      <c r="J132" s="1">
        <v>2.1</v>
      </c>
      <c r="K132" s="1" t="s">
        <v>512</v>
      </c>
      <c r="L132" s="1" t="s">
        <v>141</v>
      </c>
      <c r="M132" s="1" t="s">
        <v>56</v>
      </c>
      <c r="N132" s="1" t="s">
        <v>92</v>
      </c>
      <c r="O132" s="2">
        <v>45735</v>
      </c>
      <c r="P132" s="2">
        <v>45738</v>
      </c>
      <c r="Q132" s="1" t="b">
        <v>1</v>
      </c>
      <c r="R132" s="1">
        <v>6</v>
      </c>
      <c r="S132" s="1" t="b">
        <v>1</v>
      </c>
      <c r="T132" s="2">
        <v>45742</v>
      </c>
      <c r="U132" s="1" t="b">
        <v>1</v>
      </c>
      <c r="V132" s="2">
        <v>45745</v>
      </c>
      <c r="W132" s="1" t="b">
        <v>1</v>
      </c>
      <c r="X132" s="2">
        <v>45754</v>
      </c>
      <c r="Y132" s="1">
        <v>62</v>
      </c>
      <c r="Z132" s="1">
        <v>87</v>
      </c>
      <c r="AA132" s="1">
        <v>78</v>
      </c>
      <c r="AB132" s="1" t="b">
        <v>0</v>
      </c>
      <c r="AD132" s="1" t="b">
        <v>0</v>
      </c>
      <c r="AF132" s="1" t="s">
        <v>47</v>
      </c>
      <c r="AG132" s="1" t="s">
        <v>207</v>
      </c>
      <c r="AH132" s="1">
        <v>19</v>
      </c>
      <c r="AI132" s="1" t="s">
        <v>215</v>
      </c>
    </row>
    <row r="133" spans="1:35" ht="12.5" x14ac:dyDescent="0.25">
      <c r="A133" s="1">
        <v>129</v>
      </c>
      <c r="B133" s="1" t="s">
        <v>513</v>
      </c>
      <c r="C133" s="1" t="s">
        <v>514</v>
      </c>
      <c r="D133" s="1" t="s">
        <v>271</v>
      </c>
      <c r="E133" s="1" t="s">
        <v>38</v>
      </c>
      <c r="F133" s="1" t="s">
        <v>74</v>
      </c>
      <c r="G133" s="1" t="s">
        <v>75</v>
      </c>
      <c r="H133" s="1" t="s">
        <v>41</v>
      </c>
      <c r="I133" s="1" t="s">
        <v>82</v>
      </c>
      <c r="J133" s="1">
        <v>0</v>
      </c>
      <c r="K133" s="1" t="s">
        <v>515</v>
      </c>
      <c r="L133" s="1" t="s">
        <v>67</v>
      </c>
      <c r="M133" s="1" t="s">
        <v>115</v>
      </c>
      <c r="N133" s="1" t="s">
        <v>92</v>
      </c>
      <c r="O133" s="2">
        <v>45768</v>
      </c>
      <c r="P133" s="2">
        <v>45768</v>
      </c>
      <c r="Q133" s="1" t="b">
        <v>0</v>
      </c>
      <c r="S133" s="1" t="b">
        <v>0</v>
      </c>
      <c r="U133" s="1" t="b">
        <v>0</v>
      </c>
      <c r="W133" s="1" t="b">
        <v>0</v>
      </c>
      <c r="Y133" s="1">
        <v>70</v>
      </c>
      <c r="Z133" s="1">
        <v>78</v>
      </c>
      <c r="AA133" s="1">
        <v>75</v>
      </c>
      <c r="AB133" s="1" t="b">
        <v>0</v>
      </c>
      <c r="AD133" s="1" t="b">
        <v>0</v>
      </c>
      <c r="AF133" s="1" t="s">
        <v>77</v>
      </c>
      <c r="AG133" s="1" t="s">
        <v>69</v>
      </c>
      <c r="AH133" s="1">
        <v>0</v>
      </c>
      <c r="AI133" s="1" t="s">
        <v>118</v>
      </c>
    </row>
    <row r="134" spans="1:35" ht="12.5" hidden="1" x14ac:dyDescent="0.25">
      <c r="A134" s="1">
        <v>130</v>
      </c>
      <c r="B134" s="1" t="s">
        <v>516</v>
      </c>
      <c r="C134" s="1" t="s">
        <v>517</v>
      </c>
      <c r="D134" s="1" t="s">
        <v>518</v>
      </c>
      <c r="E134" s="1" t="s">
        <v>62</v>
      </c>
      <c r="F134" s="1" t="s">
        <v>111</v>
      </c>
      <c r="G134" s="1" t="s">
        <v>40</v>
      </c>
      <c r="H134" s="1" t="s">
        <v>65</v>
      </c>
      <c r="I134" s="1" t="s">
        <v>103</v>
      </c>
      <c r="J134" s="1">
        <v>11.3</v>
      </c>
      <c r="K134" s="1" t="s">
        <v>302</v>
      </c>
      <c r="L134" s="1" t="s">
        <v>44</v>
      </c>
      <c r="M134" s="1" t="s">
        <v>68</v>
      </c>
      <c r="N134" s="1" t="s">
        <v>116</v>
      </c>
      <c r="O134" s="2">
        <v>45672</v>
      </c>
      <c r="P134" s="2">
        <v>45672</v>
      </c>
      <c r="Q134" s="1" t="b">
        <v>1</v>
      </c>
      <c r="R134" s="1">
        <v>6</v>
      </c>
      <c r="S134" s="1" t="b">
        <v>1</v>
      </c>
      <c r="T134" s="2">
        <v>45682</v>
      </c>
      <c r="U134" s="1" t="b">
        <v>1</v>
      </c>
      <c r="V134" s="2">
        <v>45686</v>
      </c>
      <c r="W134" s="1" t="b">
        <v>1</v>
      </c>
      <c r="X134" s="2">
        <v>45695</v>
      </c>
      <c r="Y134" s="1">
        <v>58</v>
      </c>
      <c r="Z134" s="1">
        <v>72</v>
      </c>
      <c r="AA134" s="1">
        <v>68</v>
      </c>
      <c r="AB134" s="1" t="b">
        <v>0</v>
      </c>
      <c r="AD134" s="1" t="b">
        <v>0</v>
      </c>
      <c r="AF134" s="1" t="s">
        <v>47</v>
      </c>
      <c r="AG134" s="1" t="s">
        <v>361</v>
      </c>
      <c r="AH134" s="1">
        <v>23</v>
      </c>
      <c r="AI134" s="1" t="s">
        <v>48</v>
      </c>
    </row>
    <row r="135" spans="1:35" ht="12.5" hidden="1" x14ac:dyDescent="0.25">
      <c r="A135" s="1">
        <v>131</v>
      </c>
      <c r="B135" s="1" t="s">
        <v>519</v>
      </c>
      <c r="C135" s="1" t="s">
        <v>520</v>
      </c>
      <c r="D135" s="1" t="s">
        <v>521</v>
      </c>
      <c r="E135" s="1" t="s">
        <v>38</v>
      </c>
      <c r="F135" s="1" t="s">
        <v>39</v>
      </c>
      <c r="G135" s="1" t="s">
        <v>139</v>
      </c>
      <c r="H135" s="1" t="s">
        <v>41</v>
      </c>
      <c r="I135" s="1" t="s">
        <v>42</v>
      </c>
      <c r="J135" s="1">
        <v>5.9</v>
      </c>
      <c r="K135" s="1" t="s">
        <v>283</v>
      </c>
      <c r="L135" s="1" t="s">
        <v>55</v>
      </c>
      <c r="M135" s="1" t="s">
        <v>45</v>
      </c>
      <c r="N135" s="1" t="s">
        <v>46</v>
      </c>
      <c r="O135" s="2">
        <v>45802</v>
      </c>
      <c r="P135" s="2">
        <v>45808</v>
      </c>
      <c r="Q135" s="1" t="b">
        <v>1</v>
      </c>
      <c r="R135" s="1">
        <v>11</v>
      </c>
      <c r="S135" s="1" t="b">
        <v>0</v>
      </c>
      <c r="U135" s="1" t="b">
        <v>0</v>
      </c>
      <c r="W135" s="1" t="b">
        <v>0</v>
      </c>
      <c r="Y135" s="1">
        <v>73</v>
      </c>
      <c r="Z135" s="1">
        <v>81</v>
      </c>
      <c r="AA135" s="1">
        <v>75</v>
      </c>
      <c r="AB135" s="1" t="b">
        <v>0</v>
      </c>
      <c r="AD135" s="1" t="b">
        <v>0</v>
      </c>
      <c r="AF135" s="1" t="s">
        <v>57</v>
      </c>
      <c r="AH135" s="1">
        <v>6</v>
      </c>
      <c r="AI135" s="1" t="s">
        <v>118</v>
      </c>
    </row>
    <row r="136" spans="1:35" ht="12.5" hidden="1" x14ac:dyDescent="0.25">
      <c r="A136" s="1">
        <v>132</v>
      </c>
      <c r="B136" s="1" t="s">
        <v>522</v>
      </c>
      <c r="C136" s="1" t="s">
        <v>523</v>
      </c>
      <c r="D136" s="1" t="s">
        <v>144</v>
      </c>
      <c r="E136" s="1" t="s">
        <v>62</v>
      </c>
      <c r="F136" s="1" t="s">
        <v>63</v>
      </c>
      <c r="G136" s="1" t="s">
        <v>64</v>
      </c>
      <c r="H136" s="1" t="s">
        <v>65</v>
      </c>
      <c r="I136" s="1" t="s">
        <v>82</v>
      </c>
      <c r="J136" s="1">
        <v>2.2999999999999998</v>
      </c>
      <c r="K136" s="1" t="s">
        <v>524</v>
      </c>
      <c r="L136" s="1" t="s">
        <v>44</v>
      </c>
      <c r="M136" s="1" t="s">
        <v>45</v>
      </c>
      <c r="N136" s="1" t="s">
        <v>46</v>
      </c>
      <c r="O136" s="2">
        <v>45713</v>
      </c>
      <c r="P136" s="2">
        <v>45717</v>
      </c>
      <c r="Q136" s="1" t="b">
        <v>1</v>
      </c>
      <c r="R136" s="1">
        <v>1</v>
      </c>
      <c r="S136" s="1" t="b">
        <v>0</v>
      </c>
      <c r="U136" s="1" t="b">
        <v>0</v>
      </c>
      <c r="W136" s="1" t="b">
        <v>0</v>
      </c>
      <c r="Y136" s="1">
        <v>64</v>
      </c>
      <c r="Z136" s="1">
        <v>72</v>
      </c>
      <c r="AA136" s="1">
        <v>65</v>
      </c>
      <c r="AB136" s="1" t="b">
        <v>0</v>
      </c>
      <c r="AD136" s="1" t="b">
        <v>0</v>
      </c>
      <c r="AF136" s="1" t="s">
        <v>57</v>
      </c>
      <c r="AG136" s="1" t="s">
        <v>176</v>
      </c>
      <c r="AH136" s="1">
        <v>4</v>
      </c>
      <c r="AI136" s="1" t="s">
        <v>165</v>
      </c>
    </row>
    <row r="137" spans="1:35" ht="12.5" x14ac:dyDescent="0.25">
      <c r="A137" s="1">
        <v>133</v>
      </c>
      <c r="B137" s="1" t="s">
        <v>525</v>
      </c>
      <c r="C137" s="1" t="s">
        <v>526</v>
      </c>
      <c r="D137" s="1" t="s">
        <v>521</v>
      </c>
      <c r="E137" s="1" t="s">
        <v>62</v>
      </c>
      <c r="F137" s="1" t="s">
        <v>63</v>
      </c>
      <c r="G137" s="1" t="s">
        <v>64</v>
      </c>
      <c r="H137" s="1" t="s">
        <v>41</v>
      </c>
      <c r="I137" s="1" t="s">
        <v>53</v>
      </c>
      <c r="J137" s="1">
        <v>5.0999999999999996</v>
      </c>
      <c r="K137" s="1" t="s">
        <v>415</v>
      </c>
      <c r="L137" s="1" t="s">
        <v>90</v>
      </c>
      <c r="M137" s="1" t="s">
        <v>45</v>
      </c>
      <c r="N137" s="1" t="s">
        <v>46</v>
      </c>
      <c r="O137" s="2">
        <v>45792</v>
      </c>
      <c r="P137" s="2">
        <v>45793</v>
      </c>
      <c r="Q137" s="1" t="b">
        <v>0</v>
      </c>
      <c r="S137" s="1" t="b">
        <v>0</v>
      </c>
      <c r="U137" s="1" t="b">
        <v>0</v>
      </c>
      <c r="W137" s="1" t="b">
        <v>0</v>
      </c>
      <c r="Y137" s="1">
        <v>75</v>
      </c>
      <c r="Z137" s="1">
        <v>79</v>
      </c>
      <c r="AA137" s="1">
        <v>76</v>
      </c>
      <c r="AB137" s="1" t="b">
        <v>0</v>
      </c>
      <c r="AD137" s="1" t="b">
        <v>0</v>
      </c>
      <c r="AF137" s="1" t="s">
        <v>77</v>
      </c>
      <c r="AG137" s="1" t="s">
        <v>69</v>
      </c>
      <c r="AH137" s="1">
        <v>1</v>
      </c>
      <c r="AI137" s="1" t="s">
        <v>93</v>
      </c>
    </row>
    <row r="138" spans="1:35" ht="12.5" x14ac:dyDescent="0.25">
      <c r="A138" s="1">
        <v>134</v>
      </c>
      <c r="B138" s="1" t="s">
        <v>527</v>
      </c>
      <c r="C138" s="1" t="s">
        <v>528</v>
      </c>
      <c r="D138" s="1" t="s">
        <v>466</v>
      </c>
      <c r="E138" s="1" t="s">
        <v>38</v>
      </c>
      <c r="F138" s="1" t="s">
        <v>111</v>
      </c>
      <c r="G138" s="1" t="s">
        <v>64</v>
      </c>
      <c r="H138" s="1" t="s">
        <v>65</v>
      </c>
      <c r="I138" s="1" t="s">
        <v>53</v>
      </c>
      <c r="J138" s="1">
        <v>2.2000000000000002</v>
      </c>
      <c r="K138" s="1" t="s">
        <v>524</v>
      </c>
      <c r="L138" s="1" t="s">
        <v>90</v>
      </c>
      <c r="M138" s="1" t="s">
        <v>115</v>
      </c>
      <c r="N138" s="1" t="s">
        <v>92</v>
      </c>
      <c r="O138" s="2">
        <v>45785</v>
      </c>
      <c r="P138" s="2">
        <v>45786</v>
      </c>
      <c r="Q138" s="1" t="b">
        <v>0</v>
      </c>
      <c r="S138" s="1" t="b">
        <v>0</v>
      </c>
      <c r="U138" s="1" t="b">
        <v>0</v>
      </c>
      <c r="W138" s="1" t="b">
        <v>0</v>
      </c>
      <c r="Y138" s="1">
        <v>53</v>
      </c>
      <c r="Z138" s="1">
        <v>69</v>
      </c>
      <c r="AA138" s="1">
        <v>57</v>
      </c>
      <c r="AB138" s="1" t="b">
        <v>0</v>
      </c>
      <c r="AD138" s="1" t="b">
        <v>0</v>
      </c>
      <c r="AF138" s="1" t="s">
        <v>77</v>
      </c>
      <c r="AG138" s="1" t="s">
        <v>69</v>
      </c>
      <c r="AH138" s="1">
        <v>1</v>
      </c>
      <c r="AI138" s="1" t="s">
        <v>93</v>
      </c>
    </row>
    <row r="139" spans="1:35" ht="12.5" x14ac:dyDescent="0.25">
      <c r="A139" s="1">
        <v>135</v>
      </c>
      <c r="B139" s="1" t="s">
        <v>529</v>
      </c>
      <c r="C139" s="1" t="s">
        <v>530</v>
      </c>
      <c r="D139" s="1" t="s">
        <v>249</v>
      </c>
      <c r="E139" s="1" t="s">
        <v>62</v>
      </c>
      <c r="F139" s="1" t="s">
        <v>39</v>
      </c>
      <c r="G139" s="1" t="s">
        <v>139</v>
      </c>
      <c r="H139" s="1" t="s">
        <v>88</v>
      </c>
      <c r="I139" s="1" t="s">
        <v>53</v>
      </c>
      <c r="J139" s="1">
        <v>7.5</v>
      </c>
      <c r="K139" s="1" t="s">
        <v>531</v>
      </c>
      <c r="L139" s="1" t="s">
        <v>114</v>
      </c>
      <c r="M139" s="1" t="s">
        <v>45</v>
      </c>
      <c r="N139" s="1" t="s">
        <v>92</v>
      </c>
      <c r="O139" s="2">
        <v>45746</v>
      </c>
      <c r="P139" s="2">
        <v>45746</v>
      </c>
      <c r="Q139" s="1" t="b">
        <v>0</v>
      </c>
      <c r="S139" s="1" t="b">
        <v>0</v>
      </c>
      <c r="U139" s="1" t="b">
        <v>0</v>
      </c>
      <c r="W139" s="1" t="b">
        <v>0</v>
      </c>
      <c r="Y139" s="1">
        <v>65</v>
      </c>
      <c r="Z139" s="1">
        <v>77</v>
      </c>
      <c r="AA139" s="1">
        <v>53</v>
      </c>
      <c r="AB139" s="1" t="b">
        <v>0</v>
      </c>
      <c r="AD139" s="1" t="b">
        <v>0</v>
      </c>
      <c r="AF139" s="1" t="s">
        <v>77</v>
      </c>
      <c r="AG139" s="1" t="s">
        <v>69</v>
      </c>
      <c r="AH139" s="1">
        <v>0</v>
      </c>
      <c r="AI139" s="1" t="s">
        <v>215</v>
      </c>
    </row>
    <row r="140" spans="1:35" ht="12.5" hidden="1" x14ac:dyDescent="0.25">
      <c r="A140" s="1">
        <v>136</v>
      </c>
      <c r="B140" s="1" t="s">
        <v>532</v>
      </c>
      <c r="C140" s="1" t="s">
        <v>533</v>
      </c>
      <c r="D140" s="1" t="s">
        <v>534</v>
      </c>
      <c r="E140" s="1" t="s">
        <v>52</v>
      </c>
      <c r="F140" s="1" t="s">
        <v>63</v>
      </c>
      <c r="G140" s="1" t="s">
        <v>40</v>
      </c>
      <c r="H140" s="1" t="s">
        <v>88</v>
      </c>
      <c r="I140" s="1" t="s">
        <v>42</v>
      </c>
      <c r="J140" s="1">
        <v>6</v>
      </c>
      <c r="K140" s="1" t="s">
        <v>535</v>
      </c>
      <c r="L140" s="1" t="s">
        <v>55</v>
      </c>
      <c r="M140" s="1" t="s">
        <v>129</v>
      </c>
      <c r="N140" s="1" t="s">
        <v>84</v>
      </c>
      <c r="O140" s="2">
        <v>45757</v>
      </c>
      <c r="P140" s="2">
        <v>45758</v>
      </c>
      <c r="Q140" s="1" t="b">
        <v>1</v>
      </c>
      <c r="R140" s="1">
        <v>6</v>
      </c>
      <c r="S140" s="1" t="b">
        <v>0</v>
      </c>
      <c r="U140" s="1" t="b">
        <v>0</v>
      </c>
      <c r="W140" s="1" t="b">
        <v>0</v>
      </c>
      <c r="Y140" s="1">
        <v>72</v>
      </c>
      <c r="Z140" s="1">
        <v>72</v>
      </c>
      <c r="AA140" s="1">
        <v>80</v>
      </c>
      <c r="AB140" s="1" t="b">
        <v>0</v>
      </c>
      <c r="AD140" s="1" t="b">
        <v>0</v>
      </c>
      <c r="AF140" s="1" t="s">
        <v>57</v>
      </c>
      <c r="AG140" s="1" t="s">
        <v>152</v>
      </c>
      <c r="AH140" s="1">
        <v>1</v>
      </c>
      <c r="AI140" s="1" t="s">
        <v>70</v>
      </c>
    </row>
    <row r="141" spans="1:35" ht="12.5" x14ac:dyDescent="0.25">
      <c r="A141" s="1">
        <v>137</v>
      </c>
      <c r="B141" s="1" t="s">
        <v>536</v>
      </c>
      <c r="C141" s="1" t="s">
        <v>537</v>
      </c>
      <c r="D141" s="1" t="s">
        <v>322</v>
      </c>
      <c r="E141" s="1" t="s">
        <v>62</v>
      </c>
      <c r="F141" s="1" t="s">
        <v>63</v>
      </c>
      <c r="G141" s="1" t="s">
        <v>112</v>
      </c>
      <c r="H141" s="1" t="s">
        <v>65</v>
      </c>
      <c r="I141" s="1" t="s">
        <v>42</v>
      </c>
      <c r="J141" s="1">
        <v>5.8</v>
      </c>
      <c r="K141" s="1" t="s">
        <v>538</v>
      </c>
      <c r="L141" s="1" t="s">
        <v>67</v>
      </c>
      <c r="M141" s="1" t="s">
        <v>56</v>
      </c>
      <c r="N141" s="1" t="s">
        <v>92</v>
      </c>
      <c r="O141" s="2">
        <v>45770</v>
      </c>
      <c r="P141" s="2">
        <v>45771</v>
      </c>
      <c r="Q141" s="1" t="b">
        <v>0</v>
      </c>
      <c r="S141" s="1" t="b">
        <v>0</v>
      </c>
      <c r="U141" s="1" t="b">
        <v>0</v>
      </c>
      <c r="W141" s="1" t="b">
        <v>0</v>
      </c>
      <c r="Y141" s="1">
        <v>95</v>
      </c>
      <c r="Z141" s="1">
        <v>68</v>
      </c>
      <c r="AA141" s="1">
        <v>77</v>
      </c>
      <c r="AB141" s="1" t="b">
        <v>0</v>
      </c>
      <c r="AD141" s="1" t="b">
        <v>0</v>
      </c>
      <c r="AF141" s="1" t="s">
        <v>77</v>
      </c>
      <c r="AG141" s="1" t="s">
        <v>69</v>
      </c>
      <c r="AH141" s="1">
        <v>1</v>
      </c>
      <c r="AI141" s="1" t="s">
        <v>157</v>
      </c>
    </row>
    <row r="142" spans="1:35" ht="12.5" x14ac:dyDescent="0.25">
      <c r="A142" s="1">
        <v>138</v>
      </c>
      <c r="B142" s="1" t="s">
        <v>539</v>
      </c>
      <c r="C142" s="1" t="s">
        <v>540</v>
      </c>
      <c r="D142" s="1" t="s">
        <v>348</v>
      </c>
      <c r="E142" s="1" t="s">
        <v>52</v>
      </c>
      <c r="F142" s="1" t="s">
        <v>39</v>
      </c>
      <c r="G142" s="1" t="s">
        <v>40</v>
      </c>
      <c r="H142" s="1" t="s">
        <v>41</v>
      </c>
      <c r="I142" s="1" t="s">
        <v>53</v>
      </c>
      <c r="J142" s="1">
        <v>3.9</v>
      </c>
      <c r="K142" s="1" t="s">
        <v>446</v>
      </c>
      <c r="L142" s="1" t="s">
        <v>67</v>
      </c>
      <c r="M142" s="1" t="s">
        <v>146</v>
      </c>
      <c r="N142" s="1" t="s">
        <v>84</v>
      </c>
      <c r="O142" s="2">
        <v>45681</v>
      </c>
      <c r="P142" s="2">
        <v>45685</v>
      </c>
      <c r="Q142" s="1" t="b">
        <v>0</v>
      </c>
      <c r="S142" s="1" t="b">
        <v>0</v>
      </c>
      <c r="U142" s="1" t="b">
        <v>0</v>
      </c>
      <c r="W142" s="1" t="b">
        <v>0</v>
      </c>
      <c r="Y142" s="1">
        <v>67</v>
      </c>
      <c r="Z142" s="1">
        <v>77</v>
      </c>
      <c r="AA142" s="1">
        <v>84</v>
      </c>
      <c r="AB142" s="1" t="b">
        <v>0</v>
      </c>
      <c r="AD142" s="1" t="b">
        <v>0</v>
      </c>
      <c r="AF142" s="1" t="s">
        <v>77</v>
      </c>
      <c r="AG142" s="1" t="s">
        <v>69</v>
      </c>
      <c r="AH142" s="1">
        <v>4</v>
      </c>
      <c r="AI142" s="1" t="s">
        <v>58</v>
      </c>
    </row>
    <row r="143" spans="1:35" ht="12.5" x14ac:dyDescent="0.25">
      <c r="A143" s="1">
        <v>139</v>
      </c>
      <c r="B143" s="1" t="s">
        <v>541</v>
      </c>
      <c r="C143" s="1" t="s">
        <v>542</v>
      </c>
      <c r="D143" s="1" t="s">
        <v>132</v>
      </c>
      <c r="E143" s="1" t="s">
        <v>102</v>
      </c>
      <c r="F143" s="1" t="s">
        <v>111</v>
      </c>
      <c r="G143" s="1" t="s">
        <v>139</v>
      </c>
      <c r="H143" s="1" t="s">
        <v>65</v>
      </c>
      <c r="I143" s="1" t="s">
        <v>53</v>
      </c>
      <c r="J143" s="1">
        <v>3.8</v>
      </c>
      <c r="K143" s="1" t="s">
        <v>543</v>
      </c>
      <c r="L143" s="1" t="s">
        <v>141</v>
      </c>
      <c r="M143" s="1" t="s">
        <v>56</v>
      </c>
      <c r="N143" s="1" t="s">
        <v>46</v>
      </c>
      <c r="O143" s="2">
        <v>45726</v>
      </c>
      <c r="P143" s="2">
        <v>45726</v>
      </c>
      <c r="Q143" s="1" t="b">
        <v>0</v>
      </c>
      <c r="S143" s="1" t="b">
        <v>0</v>
      </c>
      <c r="U143" s="1" t="b">
        <v>0</v>
      </c>
      <c r="W143" s="1" t="b">
        <v>0</v>
      </c>
      <c r="Y143" s="1">
        <v>65</v>
      </c>
      <c r="Z143" s="1">
        <v>76</v>
      </c>
      <c r="AA143" s="1">
        <v>63</v>
      </c>
      <c r="AB143" s="1" t="b">
        <v>0</v>
      </c>
      <c r="AD143" s="1" t="b">
        <v>0</v>
      </c>
      <c r="AF143" s="1" t="s">
        <v>77</v>
      </c>
      <c r="AG143" s="1" t="s">
        <v>69</v>
      </c>
      <c r="AH143" s="1">
        <v>0</v>
      </c>
      <c r="AI143" s="1" t="s">
        <v>135</v>
      </c>
    </row>
    <row r="144" spans="1:35" ht="12.5" hidden="1" x14ac:dyDescent="0.25">
      <c r="A144" s="1">
        <v>140</v>
      </c>
      <c r="B144" s="1" t="s">
        <v>544</v>
      </c>
      <c r="C144" s="1" t="s">
        <v>545</v>
      </c>
      <c r="D144" s="1" t="s">
        <v>171</v>
      </c>
      <c r="E144" s="1" t="s">
        <v>102</v>
      </c>
      <c r="F144" s="1" t="s">
        <v>111</v>
      </c>
      <c r="G144" s="1" t="s">
        <v>64</v>
      </c>
      <c r="H144" s="1" t="s">
        <v>41</v>
      </c>
      <c r="I144" s="1" t="s">
        <v>103</v>
      </c>
      <c r="J144" s="1">
        <v>9.6999999999999993</v>
      </c>
      <c r="K144" s="1" t="s">
        <v>546</v>
      </c>
      <c r="L144" s="1" t="s">
        <v>114</v>
      </c>
      <c r="M144" s="1" t="s">
        <v>56</v>
      </c>
      <c r="N144" s="1" t="s">
        <v>84</v>
      </c>
      <c r="O144" s="2">
        <v>45754</v>
      </c>
      <c r="P144" s="2">
        <v>45760</v>
      </c>
      <c r="Q144" s="1" t="b">
        <v>1</v>
      </c>
      <c r="R144" s="1">
        <v>8</v>
      </c>
      <c r="S144" s="1" t="b">
        <v>0</v>
      </c>
      <c r="U144" s="1" t="b">
        <v>0</v>
      </c>
      <c r="W144" s="1" t="b">
        <v>0</v>
      </c>
      <c r="Y144" s="1">
        <v>63</v>
      </c>
      <c r="Z144" s="1">
        <v>71</v>
      </c>
      <c r="AA144" s="1">
        <v>65</v>
      </c>
      <c r="AB144" s="1" t="b">
        <v>0</v>
      </c>
      <c r="AD144" s="1" t="b">
        <v>0</v>
      </c>
      <c r="AF144" s="1" t="s">
        <v>57</v>
      </c>
      <c r="AG144" s="1" t="s">
        <v>234</v>
      </c>
      <c r="AH144" s="1">
        <v>6</v>
      </c>
      <c r="AI144" s="1" t="s">
        <v>165</v>
      </c>
    </row>
    <row r="145" spans="1:35" ht="12.5" x14ac:dyDescent="0.25">
      <c r="A145" s="1">
        <v>141</v>
      </c>
      <c r="B145" s="1" t="s">
        <v>547</v>
      </c>
      <c r="C145" s="1" t="s">
        <v>548</v>
      </c>
      <c r="D145" s="1" t="s">
        <v>155</v>
      </c>
      <c r="E145" s="1" t="s">
        <v>38</v>
      </c>
      <c r="F145" s="1" t="s">
        <v>111</v>
      </c>
      <c r="G145" s="1" t="s">
        <v>40</v>
      </c>
      <c r="H145" s="1" t="s">
        <v>88</v>
      </c>
      <c r="I145" s="1" t="s">
        <v>53</v>
      </c>
      <c r="J145" s="1">
        <v>5.6</v>
      </c>
      <c r="K145" s="1" t="s">
        <v>549</v>
      </c>
      <c r="L145" s="1" t="s">
        <v>90</v>
      </c>
      <c r="M145" s="1" t="s">
        <v>146</v>
      </c>
      <c r="N145" s="1" t="s">
        <v>84</v>
      </c>
      <c r="O145" s="2">
        <v>45669</v>
      </c>
      <c r="P145" s="2">
        <v>45677</v>
      </c>
      <c r="Q145" s="1" t="b">
        <v>1</v>
      </c>
      <c r="R145" s="1">
        <v>4</v>
      </c>
      <c r="S145" s="1" t="b">
        <v>1</v>
      </c>
      <c r="T145" s="2">
        <v>45684</v>
      </c>
      <c r="U145" s="1" t="b">
        <v>1</v>
      </c>
      <c r="V145" s="2">
        <v>45687</v>
      </c>
      <c r="W145" s="1" t="b">
        <v>1</v>
      </c>
      <c r="X145" s="2">
        <v>45689</v>
      </c>
      <c r="Y145" s="1">
        <v>61</v>
      </c>
      <c r="Z145" s="1">
        <v>60</v>
      </c>
      <c r="AA145" s="1">
        <v>71</v>
      </c>
      <c r="AB145" s="1" t="b">
        <v>0</v>
      </c>
      <c r="AD145" s="1" t="b">
        <v>0</v>
      </c>
      <c r="AF145" s="1" t="s">
        <v>47</v>
      </c>
      <c r="AG145" s="1" t="s">
        <v>69</v>
      </c>
      <c r="AH145" s="1">
        <v>20</v>
      </c>
      <c r="AI145" s="1" t="s">
        <v>165</v>
      </c>
    </row>
    <row r="146" spans="1:35" ht="12.5" hidden="1" x14ac:dyDescent="0.25">
      <c r="A146" s="1">
        <v>142</v>
      </c>
      <c r="B146" s="1" t="s">
        <v>550</v>
      </c>
      <c r="C146" s="1" t="s">
        <v>551</v>
      </c>
      <c r="D146" s="1" t="s">
        <v>160</v>
      </c>
      <c r="E146" s="1" t="s">
        <v>52</v>
      </c>
      <c r="F146" s="1" t="s">
        <v>39</v>
      </c>
      <c r="G146" s="1" t="s">
        <v>75</v>
      </c>
      <c r="H146" s="1" t="s">
        <v>88</v>
      </c>
      <c r="I146" s="1" t="s">
        <v>53</v>
      </c>
      <c r="J146" s="1">
        <v>5.2</v>
      </c>
      <c r="K146" s="1" t="s">
        <v>210</v>
      </c>
      <c r="L146" s="1" t="s">
        <v>55</v>
      </c>
      <c r="M146" s="1" t="s">
        <v>146</v>
      </c>
      <c r="N146" s="1" t="s">
        <v>84</v>
      </c>
      <c r="O146" s="2">
        <v>45725</v>
      </c>
      <c r="P146" s="2">
        <v>45725</v>
      </c>
      <c r="Q146" s="1" t="b">
        <v>1</v>
      </c>
      <c r="R146" s="1">
        <v>4</v>
      </c>
      <c r="S146" s="1" t="b">
        <v>1</v>
      </c>
      <c r="T146" s="2">
        <v>45726</v>
      </c>
      <c r="U146" s="1" t="b">
        <v>1</v>
      </c>
      <c r="V146" s="2">
        <v>45733</v>
      </c>
      <c r="W146" s="1" t="b">
        <v>1</v>
      </c>
      <c r="X146" s="2">
        <v>45736</v>
      </c>
      <c r="Y146" s="1">
        <v>80</v>
      </c>
      <c r="Z146" s="1">
        <v>94</v>
      </c>
      <c r="AA146" s="1">
        <v>100</v>
      </c>
      <c r="AB146" s="1" t="b">
        <v>1</v>
      </c>
      <c r="AC146" s="2">
        <v>45737</v>
      </c>
      <c r="AD146" s="1" t="b">
        <v>0</v>
      </c>
      <c r="AF146" s="1" t="s">
        <v>316</v>
      </c>
      <c r="AH146" s="1">
        <v>12</v>
      </c>
      <c r="AI146" s="1" t="s">
        <v>78</v>
      </c>
    </row>
    <row r="147" spans="1:35" ht="12.5" hidden="1" x14ac:dyDescent="0.25">
      <c r="A147" s="1">
        <v>143</v>
      </c>
      <c r="B147" s="1" t="s">
        <v>552</v>
      </c>
      <c r="C147" s="1" t="s">
        <v>553</v>
      </c>
      <c r="D147" s="1" t="s">
        <v>335</v>
      </c>
      <c r="E147" s="1" t="s">
        <v>62</v>
      </c>
      <c r="F147" s="1" t="s">
        <v>74</v>
      </c>
      <c r="G147" s="1" t="s">
        <v>139</v>
      </c>
      <c r="H147" s="1" t="s">
        <v>65</v>
      </c>
      <c r="I147" s="1" t="s">
        <v>82</v>
      </c>
      <c r="J147" s="1">
        <v>2.8</v>
      </c>
      <c r="K147" s="1" t="s">
        <v>554</v>
      </c>
      <c r="L147" s="1" t="s">
        <v>141</v>
      </c>
      <c r="M147" s="1" t="s">
        <v>45</v>
      </c>
      <c r="N147" s="1" t="s">
        <v>84</v>
      </c>
      <c r="O147" s="2">
        <v>45750</v>
      </c>
      <c r="P147" s="2">
        <v>45757</v>
      </c>
      <c r="Q147" s="1" t="b">
        <v>1</v>
      </c>
      <c r="R147" s="1">
        <v>11</v>
      </c>
      <c r="S147" s="1" t="b">
        <v>1</v>
      </c>
      <c r="T147" s="2">
        <v>45766</v>
      </c>
      <c r="U147" s="1" t="b">
        <v>1</v>
      </c>
      <c r="V147" s="2">
        <v>45775</v>
      </c>
      <c r="W147" s="1" t="b">
        <v>0</v>
      </c>
      <c r="Y147" s="1">
        <v>72</v>
      </c>
      <c r="Z147" s="1">
        <v>61</v>
      </c>
      <c r="AA147" s="1">
        <v>63</v>
      </c>
      <c r="AB147" s="1" t="b">
        <v>0</v>
      </c>
      <c r="AD147" s="1" t="b">
        <v>0</v>
      </c>
      <c r="AF147" s="1" t="s">
        <v>105</v>
      </c>
      <c r="AG147" s="1" t="s">
        <v>152</v>
      </c>
      <c r="AH147" s="1">
        <v>25</v>
      </c>
      <c r="AI147" s="1" t="s">
        <v>93</v>
      </c>
    </row>
    <row r="148" spans="1:35" ht="12.5" x14ac:dyDescent="0.25">
      <c r="A148" s="1">
        <v>144</v>
      </c>
      <c r="B148" s="1" t="s">
        <v>555</v>
      </c>
      <c r="C148" s="1" t="s">
        <v>556</v>
      </c>
      <c r="D148" s="1" t="s">
        <v>557</v>
      </c>
      <c r="E148" s="1" t="s">
        <v>38</v>
      </c>
      <c r="F148" s="1" t="s">
        <v>39</v>
      </c>
      <c r="G148" s="1" t="s">
        <v>139</v>
      </c>
      <c r="H148" s="1" t="s">
        <v>41</v>
      </c>
      <c r="I148" s="1" t="s">
        <v>53</v>
      </c>
      <c r="J148" s="1">
        <v>3.8</v>
      </c>
      <c r="K148" s="1" t="s">
        <v>264</v>
      </c>
      <c r="L148" s="1" t="s">
        <v>141</v>
      </c>
      <c r="M148" s="1" t="s">
        <v>123</v>
      </c>
      <c r="N148" s="1" t="s">
        <v>46</v>
      </c>
      <c r="O148" s="2">
        <v>45663</v>
      </c>
      <c r="P148" s="2">
        <v>45664</v>
      </c>
      <c r="Q148" s="1" t="b">
        <v>0</v>
      </c>
      <c r="S148" s="1" t="b">
        <v>0</v>
      </c>
      <c r="U148" s="1" t="b">
        <v>0</v>
      </c>
      <c r="W148" s="1" t="b">
        <v>0</v>
      </c>
      <c r="Y148" s="1">
        <v>88</v>
      </c>
      <c r="Z148" s="1">
        <v>70</v>
      </c>
      <c r="AA148" s="1">
        <v>67</v>
      </c>
      <c r="AB148" s="1" t="b">
        <v>0</v>
      </c>
      <c r="AD148" s="1" t="b">
        <v>0</v>
      </c>
      <c r="AF148" s="1" t="s">
        <v>77</v>
      </c>
      <c r="AG148" s="1" t="s">
        <v>69</v>
      </c>
      <c r="AH148" s="1">
        <v>1</v>
      </c>
      <c r="AI148" s="1" t="s">
        <v>118</v>
      </c>
    </row>
    <row r="149" spans="1:35" ht="12.5" hidden="1" x14ac:dyDescent="0.25">
      <c r="A149" s="1">
        <v>145</v>
      </c>
      <c r="B149" s="1" t="s">
        <v>558</v>
      </c>
      <c r="C149" s="1" t="s">
        <v>559</v>
      </c>
      <c r="D149" s="1" t="s">
        <v>560</v>
      </c>
      <c r="E149" s="1" t="s">
        <v>102</v>
      </c>
      <c r="F149" s="1" t="s">
        <v>39</v>
      </c>
      <c r="G149" s="1" t="s">
        <v>97</v>
      </c>
      <c r="H149" s="1" t="s">
        <v>41</v>
      </c>
      <c r="I149" s="1" t="s">
        <v>42</v>
      </c>
      <c r="J149" s="1">
        <v>6.7</v>
      </c>
      <c r="K149" s="1" t="s">
        <v>561</v>
      </c>
      <c r="L149" s="1" t="s">
        <v>141</v>
      </c>
      <c r="M149" s="1" t="s">
        <v>129</v>
      </c>
      <c r="N149" s="1" t="s">
        <v>84</v>
      </c>
      <c r="O149" s="2">
        <v>45732</v>
      </c>
      <c r="P149" s="2">
        <v>45735</v>
      </c>
      <c r="Q149" s="1" t="b">
        <v>1</v>
      </c>
      <c r="R149" s="1">
        <v>9</v>
      </c>
      <c r="S149" s="1" t="b">
        <v>1</v>
      </c>
      <c r="T149" s="2">
        <v>45744</v>
      </c>
      <c r="U149" s="1" t="b">
        <v>0</v>
      </c>
      <c r="W149" s="1" t="b">
        <v>0</v>
      </c>
      <c r="Y149" s="1">
        <v>68</v>
      </c>
      <c r="Z149" s="1">
        <v>71</v>
      </c>
      <c r="AA149" s="1">
        <v>45</v>
      </c>
      <c r="AB149" s="1" t="b">
        <v>0</v>
      </c>
      <c r="AD149" s="1" t="b">
        <v>0</v>
      </c>
      <c r="AF149" s="1" t="s">
        <v>151</v>
      </c>
      <c r="AH149" s="1">
        <v>12</v>
      </c>
      <c r="AI149" s="1" t="s">
        <v>165</v>
      </c>
    </row>
    <row r="150" spans="1:35" ht="12.5" hidden="1" x14ac:dyDescent="0.25">
      <c r="A150" s="1">
        <v>146</v>
      </c>
      <c r="B150" s="1" t="s">
        <v>562</v>
      </c>
      <c r="C150" s="1" t="s">
        <v>563</v>
      </c>
      <c r="D150" s="1" t="s">
        <v>564</v>
      </c>
      <c r="E150" s="1" t="s">
        <v>62</v>
      </c>
      <c r="F150" s="1" t="s">
        <v>74</v>
      </c>
      <c r="G150" s="1" t="s">
        <v>139</v>
      </c>
      <c r="H150" s="1" t="s">
        <v>65</v>
      </c>
      <c r="I150" s="1" t="s">
        <v>103</v>
      </c>
      <c r="J150" s="1">
        <v>10.4</v>
      </c>
      <c r="K150" s="1" t="s">
        <v>565</v>
      </c>
      <c r="L150" s="1" t="s">
        <v>67</v>
      </c>
      <c r="M150" s="1" t="s">
        <v>146</v>
      </c>
      <c r="N150" s="1" t="s">
        <v>92</v>
      </c>
      <c r="O150" s="2">
        <v>45766</v>
      </c>
      <c r="P150" s="2">
        <v>45769</v>
      </c>
      <c r="Q150" s="1" t="b">
        <v>1</v>
      </c>
      <c r="R150" s="1">
        <v>8</v>
      </c>
      <c r="S150" s="1" t="b">
        <v>1</v>
      </c>
      <c r="T150" s="2">
        <v>45774</v>
      </c>
      <c r="U150" s="1" t="b">
        <v>1</v>
      </c>
      <c r="V150" s="2">
        <v>45778</v>
      </c>
      <c r="W150" s="1" t="b">
        <v>1</v>
      </c>
      <c r="X150" s="2">
        <v>45784</v>
      </c>
      <c r="Y150" s="1">
        <v>76</v>
      </c>
      <c r="Z150" s="1">
        <v>85</v>
      </c>
      <c r="AA150" s="1">
        <v>79</v>
      </c>
      <c r="AB150" s="1" t="b">
        <v>0</v>
      </c>
      <c r="AD150" s="1" t="b">
        <v>0</v>
      </c>
      <c r="AF150" s="1" t="s">
        <v>47</v>
      </c>
      <c r="AH150" s="1">
        <v>18</v>
      </c>
      <c r="AI150" s="1" t="s">
        <v>78</v>
      </c>
    </row>
    <row r="151" spans="1:35" ht="12.5" hidden="1" x14ac:dyDescent="0.25">
      <c r="A151" s="1">
        <v>147</v>
      </c>
      <c r="B151" s="1" t="s">
        <v>566</v>
      </c>
      <c r="C151" s="1" t="s">
        <v>567</v>
      </c>
      <c r="D151" s="1" t="s">
        <v>568</v>
      </c>
      <c r="E151" s="1" t="s">
        <v>38</v>
      </c>
      <c r="F151" s="1" t="s">
        <v>63</v>
      </c>
      <c r="G151" s="1" t="s">
        <v>112</v>
      </c>
      <c r="H151" s="1" t="s">
        <v>88</v>
      </c>
      <c r="I151" s="1" t="s">
        <v>42</v>
      </c>
      <c r="J151" s="1">
        <v>8.1999999999999993</v>
      </c>
      <c r="K151" s="1" t="s">
        <v>349</v>
      </c>
      <c r="L151" s="1" t="s">
        <v>114</v>
      </c>
      <c r="M151" s="1" t="s">
        <v>56</v>
      </c>
      <c r="N151" s="1" t="s">
        <v>92</v>
      </c>
      <c r="O151" s="2">
        <v>45786</v>
      </c>
      <c r="P151" s="2">
        <v>45786</v>
      </c>
      <c r="Q151" s="1" t="b">
        <v>1</v>
      </c>
      <c r="R151" s="1">
        <v>8</v>
      </c>
      <c r="S151" s="1" t="b">
        <v>1</v>
      </c>
      <c r="T151" s="2">
        <v>45787</v>
      </c>
      <c r="U151" s="1" t="b">
        <v>1</v>
      </c>
      <c r="V151" s="2">
        <v>45791</v>
      </c>
      <c r="W151" s="1" t="b">
        <v>0</v>
      </c>
      <c r="Y151" s="1">
        <v>88</v>
      </c>
      <c r="Z151" s="1">
        <v>79</v>
      </c>
      <c r="AA151" s="1">
        <v>84</v>
      </c>
      <c r="AB151" s="1" t="b">
        <v>0</v>
      </c>
      <c r="AD151" s="1" t="b">
        <v>0</v>
      </c>
      <c r="AF151" s="1" t="s">
        <v>105</v>
      </c>
      <c r="AH151" s="1">
        <v>5</v>
      </c>
      <c r="AI151" s="1" t="s">
        <v>70</v>
      </c>
    </row>
    <row r="152" spans="1:35" ht="12.5" x14ac:dyDescent="0.25">
      <c r="A152" s="1">
        <v>148</v>
      </c>
      <c r="B152" s="1" t="s">
        <v>569</v>
      </c>
      <c r="C152" s="1" t="s">
        <v>570</v>
      </c>
      <c r="D152" s="1" t="s">
        <v>195</v>
      </c>
      <c r="E152" s="1" t="s">
        <v>102</v>
      </c>
      <c r="F152" s="1" t="s">
        <v>63</v>
      </c>
      <c r="G152" s="1" t="s">
        <v>112</v>
      </c>
      <c r="H152" s="1" t="s">
        <v>41</v>
      </c>
      <c r="I152" s="1" t="s">
        <v>53</v>
      </c>
      <c r="J152" s="1">
        <v>2.2000000000000002</v>
      </c>
      <c r="K152" s="1" t="s">
        <v>571</v>
      </c>
      <c r="L152" s="1" t="s">
        <v>44</v>
      </c>
      <c r="M152" s="1" t="s">
        <v>129</v>
      </c>
      <c r="N152" s="1" t="s">
        <v>116</v>
      </c>
      <c r="O152" s="2">
        <v>45777</v>
      </c>
      <c r="P152" s="2">
        <v>45780</v>
      </c>
      <c r="Q152" s="1" t="b">
        <v>1</v>
      </c>
      <c r="R152" s="1">
        <v>2</v>
      </c>
      <c r="S152" s="1" t="b">
        <v>0</v>
      </c>
      <c r="U152" s="1" t="b">
        <v>0</v>
      </c>
      <c r="W152" s="1" t="b">
        <v>0</v>
      </c>
      <c r="Y152" s="1">
        <v>73</v>
      </c>
      <c r="Z152" s="1">
        <v>76</v>
      </c>
      <c r="AA152" s="1">
        <v>69</v>
      </c>
      <c r="AB152" s="1" t="b">
        <v>0</v>
      </c>
      <c r="AD152" s="1" t="b">
        <v>0</v>
      </c>
      <c r="AF152" s="1" t="s">
        <v>57</v>
      </c>
      <c r="AG152" s="1" t="s">
        <v>69</v>
      </c>
      <c r="AH152" s="1">
        <v>3</v>
      </c>
      <c r="AI152" s="1" t="s">
        <v>58</v>
      </c>
    </row>
    <row r="153" spans="1:35" ht="12.5" hidden="1" x14ac:dyDescent="0.25">
      <c r="A153" s="1">
        <v>149</v>
      </c>
      <c r="B153" s="1" t="s">
        <v>572</v>
      </c>
      <c r="C153" s="1" t="s">
        <v>573</v>
      </c>
      <c r="D153" s="1" t="s">
        <v>127</v>
      </c>
      <c r="E153" s="1" t="s">
        <v>38</v>
      </c>
      <c r="F153" s="1" t="s">
        <v>63</v>
      </c>
      <c r="G153" s="1" t="s">
        <v>139</v>
      </c>
      <c r="H153" s="1" t="s">
        <v>88</v>
      </c>
      <c r="I153" s="1" t="s">
        <v>42</v>
      </c>
      <c r="J153" s="1">
        <v>9.5</v>
      </c>
      <c r="K153" s="1" t="s">
        <v>574</v>
      </c>
      <c r="L153" s="1" t="s">
        <v>55</v>
      </c>
      <c r="M153" s="1" t="s">
        <v>129</v>
      </c>
      <c r="N153" s="1" t="s">
        <v>84</v>
      </c>
      <c r="O153" s="2">
        <v>45801</v>
      </c>
      <c r="P153" s="2">
        <v>45801</v>
      </c>
      <c r="Q153" s="1" t="b">
        <v>1</v>
      </c>
      <c r="R153" s="1">
        <v>1</v>
      </c>
      <c r="S153" s="1" t="b">
        <v>0</v>
      </c>
      <c r="U153" s="1" t="b">
        <v>0</v>
      </c>
      <c r="W153" s="1" t="b">
        <v>0</v>
      </c>
      <c r="Y153" s="1">
        <v>57</v>
      </c>
      <c r="Z153" s="1">
        <v>97</v>
      </c>
      <c r="AA153" s="1">
        <v>75</v>
      </c>
      <c r="AB153" s="1" t="b">
        <v>0</v>
      </c>
      <c r="AD153" s="1" t="b">
        <v>0</v>
      </c>
      <c r="AF153" s="1" t="s">
        <v>57</v>
      </c>
      <c r="AH153" s="1">
        <v>0</v>
      </c>
      <c r="AI153" s="1" t="s">
        <v>165</v>
      </c>
    </row>
    <row r="154" spans="1:35" ht="12.5" hidden="1" x14ac:dyDescent="0.25">
      <c r="A154" s="1">
        <v>150</v>
      </c>
      <c r="B154" s="1" t="s">
        <v>575</v>
      </c>
      <c r="C154" s="1" t="s">
        <v>576</v>
      </c>
      <c r="D154" s="1" t="s">
        <v>505</v>
      </c>
      <c r="E154" s="1" t="s">
        <v>38</v>
      </c>
      <c r="F154" s="1" t="s">
        <v>39</v>
      </c>
      <c r="G154" s="1" t="s">
        <v>139</v>
      </c>
      <c r="H154" s="1" t="s">
        <v>65</v>
      </c>
      <c r="I154" s="1" t="s">
        <v>42</v>
      </c>
      <c r="J154" s="1">
        <v>9.9</v>
      </c>
      <c r="K154" s="1" t="s">
        <v>577</v>
      </c>
      <c r="L154" s="1" t="s">
        <v>44</v>
      </c>
      <c r="M154" s="1" t="s">
        <v>146</v>
      </c>
      <c r="N154" s="1" t="s">
        <v>116</v>
      </c>
      <c r="O154" s="2">
        <v>45789</v>
      </c>
      <c r="P154" s="2">
        <v>45791</v>
      </c>
      <c r="Q154" s="1" t="b">
        <v>1</v>
      </c>
      <c r="R154" s="1">
        <v>4</v>
      </c>
      <c r="S154" s="1" t="b">
        <v>1</v>
      </c>
      <c r="T154" s="2">
        <v>45794</v>
      </c>
      <c r="U154" s="1" t="b">
        <v>0</v>
      </c>
      <c r="W154" s="1" t="b">
        <v>0</v>
      </c>
      <c r="Y154" s="1">
        <v>64</v>
      </c>
      <c r="Z154" s="1">
        <v>82</v>
      </c>
      <c r="AA154" s="1">
        <v>76</v>
      </c>
      <c r="AB154" s="1" t="b">
        <v>0</v>
      </c>
      <c r="AD154" s="1" t="b">
        <v>0</v>
      </c>
      <c r="AF154" s="1" t="s">
        <v>151</v>
      </c>
      <c r="AH154" s="1">
        <v>5</v>
      </c>
      <c r="AI154" s="1" t="s">
        <v>165</v>
      </c>
    </row>
    <row r="155" spans="1:35" ht="12.5" hidden="1" x14ac:dyDescent="0.25">
      <c r="A155" s="1">
        <v>151</v>
      </c>
      <c r="B155" s="1" t="s">
        <v>578</v>
      </c>
      <c r="C155" s="1" t="s">
        <v>579</v>
      </c>
      <c r="D155" s="1" t="s">
        <v>580</v>
      </c>
      <c r="E155" s="1" t="s">
        <v>62</v>
      </c>
      <c r="F155" s="1" t="s">
        <v>39</v>
      </c>
      <c r="G155" s="1" t="s">
        <v>139</v>
      </c>
      <c r="H155" s="1" t="s">
        <v>41</v>
      </c>
      <c r="I155" s="1" t="s">
        <v>42</v>
      </c>
      <c r="J155" s="1">
        <v>9.4</v>
      </c>
      <c r="K155" s="1" t="s">
        <v>554</v>
      </c>
      <c r="L155" s="1" t="s">
        <v>90</v>
      </c>
      <c r="M155" s="1" t="s">
        <v>146</v>
      </c>
      <c r="N155" s="1" t="s">
        <v>116</v>
      </c>
      <c r="O155" s="2">
        <v>45732</v>
      </c>
      <c r="P155" s="2">
        <v>45732</v>
      </c>
      <c r="Q155" s="1" t="b">
        <v>1</v>
      </c>
      <c r="R155" s="1">
        <v>5</v>
      </c>
      <c r="S155" s="1" t="b">
        <v>1</v>
      </c>
      <c r="T155" s="2">
        <v>45738</v>
      </c>
      <c r="U155" s="1" t="b">
        <v>1</v>
      </c>
      <c r="V155" s="2">
        <v>45741</v>
      </c>
      <c r="W155" s="1" t="b">
        <v>1</v>
      </c>
      <c r="X155" s="2">
        <v>45745</v>
      </c>
      <c r="Y155" s="1">
        <v>62</v>
      </c>
      <c r="Z155" s="1">
        <v>85</v>
      </c>
      <c r="AA155" s="1">
        <v>81</v>
      </c>
      <c r="AB155" s="1" t="b">
        <v>0</v>
      </c>
      <c r="AD155" s="1" t="b">
        <v>0</v>
      </c>
      <c r="AF155" s="1" t="s">
        <v>47</v>
      </c>
      <c r="AG155" s="1" t="s">
        <v>361</v>
      </c>
      <c r="AH155" s="1">
        <v>13</v>
      </c>
      <c r="AI155" s="1" t="s">
        <v>78</v>
      </c>
    </row>
    <row r="156" spans="1:35" ht="12.5" hidden="1" x14ac:dyDescent="0.25">
      <c r="A156" s="1">
        <v>152</v>
      </c>
      <c r="B156" s="1" t="s">
        <v>581</v>
      </c>
      <c r="C156" s="1" t="s">
        <v>582</v>
      </c>
      <c r="D156" s="1" t="s">
        <v>583</v>
      </c>
      <c r="E156" s="1" t="s">
        <v>62</v>
      </c>
      <c r="F156" s="1" t="s">
        <v>111</v>
      </c>
      <c r="G156" s="1" t="s">
        <v>112</v>
      </c>
      <c r="H156" s="1" t="s">
        <v>41</v>
      </c>
      <c r="I156" s="1" t="s">
        <v>53</v>
      </c>
      <c r="J156" s="1">
        <v>4.5999999999999996</v>
      </c>
      <c r="K156" s="1" t="s">
        <v>584</v>
      </c>
      <c r="L156" s="1" t="s">
        <v>114</v>
      </c>
      <c r="M156" s="1" t="s">
        <v>56</v>
      </c>
      <c r="N156" s="1" t="s">
        <v>46</v>
      </c>
      <c r="O156" s="2">
        <v>45788</v>
      </c>
      <c r="P156" s="2">
        <v>45790</v>
      </c>
      <c r="Q156" s="1" t="b">
        <v>1</v>
      </c>
      <c r="R156" s="1">
        <v>3</v>
      </c>
      <c r="S156" s="1" t="b">
        <v>1</v>
      </c>
      <c r="T156" s="2">
        <v>45794</v>
      </c>
      <c r="U156" s="1" t="b">
        <v>1</v>
      </c>
      <c r="V156" s="2">
        <v>45797</v>
      </c>
      <c r="W156" s="1" t="b">
        <v>1</v>
      </c>
      <c r="X156" s="2">
        <v>45806</v>
      </c>
      <c r="Y156" s="1">
        <v>72</v>
      </c>
      <c r="Z156" s="1">
        <v>67</v>
      </c>
      <c r="AA156" s="1">
        <v>60</v>
      </c>
      <c r="AB156" s="1" t="b">
        <v>0</v>
      </c>
      <c r="AD156" s="1" t="b">
        <v>0</v>
      </c>
      <c r="AF156" s="1" t="s">
        <v>47</v>
      </c>
      <c r="AG156" s="1" t="s">
        <v>287</v>
      </c>
      <c r="AH156" s="1">
        <v>18</v>
      </c>
      <c r="AI156" s="1" t="s">
        <v>48</v>
      </c>
    </row>
    <row r="157" spans="1:35" ht="12.5" x14ac:dyDescent="0.25">
      <c r="A157" s="1">
        <v>153</v>
      </c>
      <c r="B157" s="1" t="s">
        <v>99</v>
      </c>
      <c r="C157" s="1" t="s">
        <v>585</v>
      </c>
      <c r="D157" s="1" t="s">
        <v>271</v>
      </c>
      <c r="E157" s="1" t="s">
        <v>102</v>
      </c>
      <c r="F157" s="1" t="s">
        <v>74</v>
      </c>
      <c r="G157" s="1" t="s">
        <v>40</v>
      </c>
      <c r="H157" s="1" t="s">
        <v>41</v>
      </c>
      <c r="I157" s="1" t="s">
        <v>53</v>
      </c>
      <c r="J157" s="1">
        <v>3.4</v>
      </c>
      <c r="K157" s="1" t="s">
        <v>586</v>
      </c>
      <c r="L157" s="1" t="s">
        <v>67</v>
      </c>
      <c r="M157" s="1" t="s">
        <v>146</v>
      </c>
      <c r="N157" s="1" t="s">
        <v>84</v>
      </c>
      <c r="O157" s="2">
        <v>45715</v>
      </c>
      <c r="P157" s="2">
        <v>45717</v>
      </c>
      <c r="Q157" s="1" t="b">
        <v>0</v>
      </c>
      <c r="S157" s="1" t="b">
        <v>0</v>
      </c>
      <c r="U157" s="1" t="b">
        <v>0</v>
      </c>
      <c r="W157" s="1" t="b">
        <v>0</v>
      </c>
      <c r="Y157" s="1">
        <v>64</v>
      </c>
      <c r="Z157" s="1">
        <v>67</v>
      </c>
      <c r="AA157" s="1">
        <v>68</v>
      </c>
      <c r="AB157" s="1" t="b">
        <v>0</v>
      </c>
      <c r="AD157" s="1" t="b">
        <v>0</v>
      </c>
      <c r="AF157" s="1" t="s">
        <v>77</v>
      </c>
      <c r="AG157" s="1" t="s">
        <v>69</v>
      </c>
      <c r="AH157" s="1">
        <v>2</v>
      </c>
      <c r="AI157" s="1" t="s">
        <v>215</v>
      </c>
    </row>
    <row r="158" spans="1:35" ht="12.5" hidden="1" x14ac:dyDescent="0.25">
      <c r="A158" s="1">
        <v>154</v>
      </c>
      <c r="B158" s="1" t="s">
        <v>587</v>
      </c>
      <c r="C158" s="1" t="s">
        <v>588</v>
      </c>
      <c r="D158" s="1" t="s">
        <v>73</v>
      </c>
      <c r="E158" s="1" t="s">
        <v>52</v>
      </c>
      <c r="F158" s="1" t="s">
        <v>74</v>
      </c>
      <c r="G158" s="1" t="s">
        <v>112</v>
      </c>
      <c r="H158" s="1" t="s">
        <v>88</v>
      </c>
      <c r="I158" s="1" t="s">
        <v>42</v>
      </c>
      <c r="J158" s="1">
        <v>9.4</v>
      </c>
      <c r="K158" s="1" t="s">
        <v>443</v>
      </c>
      <c r="L158" s="1" t="s">
        <v>114</v>
      </c>
      <c r="M158" s="1" t="s">
        <v>45</v>
      </c>
      <c r="N158" s="1" t="s">
        <v>116</v>
      </c>
      <c r="O158" s="2">
        <v>45740</v>
      </c>
      <c r="P158" s="2">
        <v>45748</v>
      </c>
      <c r="Q158" s="1" t="b">
        <v>1</v>
      </c>
      <c r="R158" s="1">
        <v>5</v>
      </c>
      <c r="S158" s="1" t="b">
        <v>1</v>
      </c>
      <c r="T158" s="2">
        <v>45758</v>
      </c>
      <c r="U158" s="1" t="b">
        <v>1</v>
      </c>
      <c r="V158" s="2">
        <v>45772</v>
      </c>
      <c r="W158" s="1" t="b">
        <v>1</v>
      </c>
      <c r="X158" s="2">
        <v>45775</v>
      </c>
      <c r="Y158" s="1">
        <v>100</v>
      </c>
      <c r="Z158" s="1">
        <v>83</v>
      </c>
      <c r="AA158" s="1">
        <v>88</v>
      </c>
      <c r="AB158" s="1" t="b">
        <v>0</v>
      </c>
      <c r="AD158" s="1" t="b">
        <v>0</v>
      </c>
      <c r="AF158" s="1" t="s">
        <v>47</v>
      </c>
      <c r="AG158" s="1" t="s">
        <v>361</v>
      </c>
      <c r="AH158" s="1">
        <v>35</v>
      </c>
      <c r="AI158" s="1" t="s">
        <v>58</v>
      </c>
    </row>
    <row r="159" spans="1:35" ht="12.5" hidden="1" x14ac:dyDescent="0.25">
      <c r="A159" s="1">
        <v>155</v>
      </c>
      <c r="B159" s="1" t="s">
        <v>589</v>
      </c>
      <c r="C159" s="1" t="s">
        <v>590</v>
      </c>
      <c r="D159" s="1" t="s">
        <v>591</v>
      </c>
      <c r="E159" s="1" t="s">
        <v>38</v>
      </c>
      <c r="F159" s="1" t="s">
        <v>74</v>
      </c>
      <c r="G159" s="1" t="s">
        <v>40</v>
      </c>
      <c r="H159" s="1" t="s">
        <v>65</v>
      </c>
      <c r="I159" s="1" t="s">
        <v>53</v>
      </c>
      <c r="J159" s="1">
        <v>5.7</v>
      </c>
      <c r="K159" s="1" t="s">
        <v>577</v>
      </c>
      <c r="L159" s="1" t="s">
        <v>67</v>
      </c>
      <c r="M159" s="1" t="s">
        <v>45</v>
      </c>
      <c r="N159" s="1" t="s">
        <v>116</v>
      </c>
      <c r="O159" s="2">
        <v>45735</v>
      </c>
      <c r="P159" s="2">
        <v>45741</v>
      </c>
      <c r="Q159" s="1" t="b">
        <v>1</v>
      </c>
      <c r="R159" s="1">
        <v>2</v>
      </c>
      <c r="S159" s="1" t="b">
        <v>0</v>
      </c>
      <c r="U159" s="1" t="b">
        <v>0</v>
      </c>
      <c r="W159" s="1" t="b">
        <v>0</v>
      </c>
      <c r="Y159" s="1">
        <v>76</v>
      </c>
      <c r="Z159" s="1">
        <v>76</v>
      </c>
      <c r="AA159" s="1">
        <v>85</v>
      </c>
      <c r="AB159" s="1" t="b">
        <v>0</v>
      </c>
      <c r="AD159" s="1" t="b">
        <v>0</v>
      </c>
      <c r="AF159" s="1" t="s">
        <v>57</v>
      </c>
      <c r="AH159" s="1">
        <v>6</v>
      </c>
      <c r="AI159" s="1" t="s">
        <v>215</v>
      </c>
    </row>
    <row r="160" spans="1:35" ht="12.5" hidden="1" x14ac:dyDescent="0.25">
      <c r="A160" s="1">
        <v>156</v>
      </c>
      <c r="B160" s="1" t="s">
        <v>592</v>
      </c>
      <c r="C160" s="1" t="s">
        <v>593</v>
      </c>
      <c r="D160" s="1" t="s">
        <v>518</v>
      </c>
      <c r="E160" s="1" t="s">
        <v>62</v>
      </c>
      <c r="F160" s="1" t="s">
        <v>74</v>
      </c>
      <c r="G160" s="1" t="s">
        <v>64</v>
      </c>
      <c r="H160" s="1" t="s">
        <v>41</v>
      </c>
      <c r="I160" s="1" t="s">
        <v>53</v>
      </c>
      <c r="J160" s="1">
        <v>3.5</v>
      </c>
      <c r="K160" s="1" t="s">
        <v>89</v>
      </c>
      <c r="L160" s="1" t="s">
        <v>44</v>
      </c>
      <c r="M160" s="1" t="s">
        <v>68</v>
      </c>
      <c r="N160" s="1" t="s">
        <v>92</v>
      </c>
      <c r="O160" s="2">
        <v>45694</v>
      </c>
      <c r="P160" s="2">
        <v>45698</v>
      </c>
      <c r="Q160" s="1" t="b">
        <v>1</v>
      </c>
      <c r="R160" s="1">
        <v>2</v>
      </c>
      <c r="S160" s="1" t="b">
        <v>0</v>
      </c>
      <c r="U160" s="1" t="b">
        <v>0</v>
      </c>
      <c r="W160" s="1" t="b">
        <v>0</v>
      </c>
      <c r="Y160" s="1">
        <v>71</v>
      </c>
      <c r="Z160" s="1">
        <v>87</v>
      </c>
      <c r="AA160" s="1">
        <v>82</v>
      </c>
      <c r="AB160" s="1" t="b">
        <v>0</v>
      </c>
      <c r="AD160" s="1" t="b">
        <v>0</v>
      </c>
      <c r="AF160" s="1" t="s">
        <v>57</v>
      </c>
      <c r="AH160" s="1">
        <v>4</v>
      </c>
      <c r="AI160" s="1" t="s">
        <v>93</v>
      </c>
    </row>
    <row r="161" spans="1:35" ht="12.5" x14ac:dyDescent="0.25">
      <c r="A161" s="1">
        <v>157</v>
      </c>
      <c r="B161" s="1" t="s">
        <v>594</v>
      </c>
      <c r="C161" s="1" t="s">
        <v>595</v>
      </c>
      <c r="D161" s="1" t="s">
        <v>521</v>
      </c>
      <c r="E161" s="1" t="s">
        <v>102</v>
      </c>
      <c r="F161" s="1" t="s">
        <v>63</v>
      </c>
      <c r="G161" s="1" t="s">
        <v>75</v>
      </c>
      <c r="H161" s="1" t="s">
        <v>41</v>
      </c>
      <c r="I161" s="1" t="s">
        <v>53</v>
      </c>
      <c r="J161" s="1">
        <v>5.7</v>
      </c>
      <c r="K161" s="1" t="s">
        <v>196</v>
      </c>
      <c r="L161" s="1" t="s">
        <v>55</v>
      </c>
      <c r="M161" s="1" t="s">
        <v>146</v>
      </c>
      <c r="N161" s="1" t="s">
        <v>116</v>
      </c>
      <c r="O161" s="2">
        <v>45690</v>
      </c>
      <c r="P161" s="2">
        <v>45691</v>
      </c>
      <c r="Q161" s="1" t="b">
        <v>0</v>
      </c>
      <c r="S161" s="1" t="b">
        <v>0</v>
      </c>
      <c r="U161" s="1" t="b">
        <v>0</v>
      </c>
      <c r="W161" s="1" t="b">
        <v>0</v>
      </c>
      <c r="Y161" s="1">
        <v>56</v>
      </c>
      <c r="Z161" s="1">
        <v>77</v>
      </c>
      <c r="AA161" s="1">
        <v>65</v>
      </c>
      <c r="AB161" s="1" t="b">
        <v>0</v>
      </c>
      <c r="AD161" s="1" t="b">
        <v>0</v>
      </c>
      <c r="AF161" s="1" t="s">
        <v>77</v>
      </c>
      <c r="AG161" s="1" t="s">
        <v>69</v>
      </c>
      <c r="AH161" s="1">
        <v>1</v>
      </c>
      <c r="AI161" s="1" t="s">
        <v>118</v>
      </c>
    </row>
    <row r="162" spans="1:35" ht="12.5" x14ac:dyDescent="0.25">
      <c r="A162" s="1">
        <v>158</v>
      </c>
      <c r="B162" s="1" t="s">
        <v>596</v>
      </c>
      <c r="C162" s="1" t="s">
        <v>597</v>
      </c>
      <c r="D162" s="1" t="s">
        <v>598</v>
      </c>
      <c r="E162" s="1" t="s">
        <v>52</v>
      </c>
      <c r="F162" s="1" t="s">
        <v>74</v>
      </c>
      <c r="G162" s="1" t="s">
        <v>139</v>
      </c>
      <c r="H162" s="1" t="s">
        <v>65</v>
      </c>
      <c r="I162" s="1" t="s">
        <v>53</v>
      </c>
      <c r="J162" s="1">
        <v>5</v>
      </c>
      <c r="K162" s="1" t="s">
        <v>264</v>
      </c>
      <c r="L162" s="1" t="s">
        <v>44</v>
      </c>
      <c r="M162" s="1" t="s">
        <v>91</v>
      </c>
      <c r="N162" s="1" t="s">
        <v>84</v>
      </c>
      <c r="O162" s="2">
        <v>45759</v>
      </c>
      <c r="P162" s="2">
        <v>45761</v>
      </c>
      <c r="Q162" s="1" t="b">
        <v>1</v>
      </c>
      <c r="R162" s="1">
        <v>10</v>
      </c>
      <c r="S162" s="1" t="b">
        <v>1</v>
      </c>
      <c r="T162" s="2">
        <v>45762</v>
      </c>
      <c r="U162" s="1" t="b">
        <v>1</v>
      </c>
      <c r="V162" s="2">
        <v>45775</v>
      </c>
      <c r="W162" s="1" t="b">
        <v>1</v>
      </c>
      <c r="X162" s="2">
        <v>45776</v>
      </c>
      <c r="Y162" s="1">
        <v>100</v>
      </c>
      <c r="Z162" s="1">
        <v>58</v>
      </c>
      <c r="AA162" s="1">
        <v>77</v>
      </c>
      <c r="AB162" s="1" t="b">
        <v>0</v>
      </c>
      <c r="AD162" s="1" t="b">
        <v>0</v>
      </c>
      <c r="AF162" s="1" t="s">
        <v>47</v>
      </c>
      <c r="AG162" s="1" t="s">
        <v>69</v>
      </c>
      <c r="AH162" s="1">
        <v>17</v>
      </c>
      <c r="AI162" s="1" t="s">
        <v>70</v>
      </c>
    </row>
    <row r="163" spans="1:35" ht="12.5" hidden="1" x14ac:dyDescent="0.25">
      <c r="A163" s="1">
        <v>159</v>
      </c>
      <c r="B163" s="1" t="s">
        <v>599</v>
      </c>
      <c r="C163" s="1" t="s">
        <v>600</v>
      </c>
      <c r="D163" s="1" t="s">
        <v>96</v>
      </c>
      <c r="E163" s="1" t="s">
        <v>62</v>
      </c>
      <c r="F163" s="1" t="s">
        <v>63</v>
      </c>
      <c r="G163" s="1" t="s">
        <v>97</v>
      </c>
      <c r="H163" s="1" t="s">
        <v>88</v>
      </c>
      <c r="I163" s="1" t="s">
        <v>103</v>
      </c>
      <c r="J163" s="1">
        <v>9.1</v>
      </c>
      <c r="K163" s="1" t="s">
        <v>356</v>
      </c>
      <c r="L163" s="1" t="s">
        <v>55</v>
      </c>
      <c r="M163" s="1" t="s">
        <v>123</v>
      </c>
      <c r="N163" s="1" t="s">
        <v>46</v>
      </c>
      <c r="O163" s="2">
        <v>45701</v>
      </c>
      <c r="P163" s="2">
        <v>45704</v>
      </c>
      <c r="Q163" s="1" t="b">
        <v>1</v>
      </c>
      <c r="R163" s="1">
        <v>4</v>
      </c>
      <c r="S163" s="1" t="b">
        <v>1</v>
      </c>
      <c r="T163" s="2">
        <v>45714</v>
      </c>
      <c r="U163" s="1" t="b">
        <v>1</v>
      </c>
      <c r="V163" s="2">
        <v>45723</v>
      </c>
      <c r="W163" s="1" t="b">
        <v>1</v>
      </c>
      <c r="X163" s="2">
        <v>45733</v>
      </c>
      <c r="Y163" s="1">
        <v>71</v>
      </c>
      <c r="Z163" s="1">
        <v>79</v>
      </c>
      <c r="AA163" s="1">
        <v>62</v>
      </c>
      <c r="AB163" s="1" t="b">
        <v>0</v>
      </c>
      <c r="AD163" s="1" t="b">
        <v>0</v>
      </c>
      <c r="AF163" s="1" t="s">
        <v>47</v>
      </c>
      <c r="AG163" s="1" t="s">
        <v>124</v>
      </c>
      <c r="AH163" s="1">
        <v>32</v>
      </c>
      <c r="AI163" s="1" t="s">
        <v>48</v>
      </c>
    </row>
    <row r="164" spans="1:35" ht="12.5" hidden="1" x14ac:dyDescent="0.25">
      <c r="A164" s="1">
        <v>160</v>
      </c>
      <c r="B164" s="1" t="s">
        <v>601</v>
      </c>
      <c r="C164" s="1" t="s">
        <v>602</v>
      </c>
      <c r="D164" s="1" t="s">
        <v>508</v>
      </c>
      <c r="E164" s="1" t="s">
        <v>52</v>
      </c>
      <c r="F164" s="1" t="s">
        <v>39</v>
      </c>
      <c r="G164" s="1" t="s">
        <v>64</v>
      </c>
      <c r="H164" s="1" t="s">
        <v>41</v>
      </c>
      <c r="I164" s="1" t="s">
        <v>53</v>
      </c>
      <c r="J164" s="1">
        <v>2.2999999999999998</v>
      </c>
      <c r="K164" s="1" t="s">
        <v>603</v>
      </c>
      <c r="L164" s="1" t="s">
        <v>141</v>
      </c>
      <c r="M164" s="1" t="s">
        <v>115</v>
      </c>
      <c r="N164" s="1" t="s">
        <v>116</v>
      </c>
      <c r="O164" s="2">
        <v>45726</v>
      </c>
      <c r="P164" s="2">
        <v>45726</v>
      </c>
      <c r="Q164" s="1" t="b">
        <v>1</v>
      </c>
      <c r="R164" s="1">
        <v>0</v>
      </c>
      <c r="S164" s="1" t="b">
        <v>1</v>
      </c>
      <c r="T164" s="2">
        <v>45730</v>
      </c>
      <c r="U164" s="1" t="b">
        <v>1</v>
      </c>
      <c r="V164" s="2">
        <v>45735</v>
      </c>
      <c r="W164" s="1" t="b">
        <v>1</v>
      </c>
      <c r="X164" s="2">
        <v>45738</v>
      </c>
      <c r="Y164" s="1">
        <v>67</v>
      </c>
      <c r="Z164" s="1">
        <v>81</v>
      </c>
      <c r="AA164" s="1">
        <v>87</v>
      </c>
      <c r="AB164" s="1" t="b">
        <v>0</v>
      </c>
      <c r="AD164" s="1" t="b">
        <v>0</v>
      </c>
      <c r="AF164" s="1" t="s">
        <v>47</v>
      </c>
      <c r="AG164" s="1" t="s">
        <v>117</v>
      </c>
      <c r="AH164" s="1">
        <v>12</v>
      </c>
      <c r="AI164" s="1" t="s">
        <v>165</v>
      </c>
    </row>
    <row r="165" spans="1:35" ht="12.5" x14ac:dyDescent="0.25">
      <c r="A165" s="1">
        <v>161</v>
      </c>
      <c r="B165" s="1" t="s">
        <v>604</v>
      </c>
      <c r="C165" s="1" t="s">
        <v>605</v>
      </c>
      <c r="D165" s="1" t="s">
        <v>371</v>
      </c>
      <c r="E165" s="1" t="s">
        <v>102</v>
      </c>
      <c r="F165" s="1" t="s">
        <v>111</v>
      </c>
      <c r="G165" s="1" t="s">
        <v>112</v>
      </c>
      <c r="H165" s="1" t="s">
        <v>41</v>
      </c>
      <c r="I165" s="1" t="s">
        <v>103</v>
      </c>
      <c r="J165" s="1">
        <v>13.6</v>
      </c>
      <c r="K165" s="1" t="s">
        <v>454</v>
      </c>
      <c r="L165" s="1" t="s">
        <v>44</v>
      </c>
      <c r="M165" s="1" t="s">
        <v>91</v>
      </c>
      <c r="N165" s="1" t="s">
        <v>84</v>
      </c>
      <c r="O165" s="2">
        <v>45715</v>
      </c>
      <c r="P165" s="2">
        <v>45715</v>
      </c>
      <c r="Q165" s="1" t="b">
        <v>0</v>
      </c>
      <c r="S165" s="1" t="b">
        <v>0</v>
      </c>
      <c r="U165" s="1" t="b">
        <v>0</v>
      </c>
      <c r="W165" s="1" t="b">
        <v>0</v>
      </c>
      <c r="Y165" s="1">
        <v>89</v>
      </c>
      <c r="Z165" s="1">
        <v>75</v>
      </c>
      <c r="AA165" s="1">
        <v>90</v>
      </c>
      <c r="AB165" s="1" t="b">
        <v>0</v>
      </c>
      <c r="AD165" s="1" t="b">
        <v>0</v>
      </c>
      <c r="AF165" s="1" t="s">
        <v>77</v>
      </c>
      <c r="AG165" s="1" t="s">
        <v>69</v>
      </c>
      <c r="AH165" s="1">
        <v>0</v>
      </c>
      <c r="AI165" s="1" t="s">
        <v>135</v>
      </c>
    </row>
    <row r="166" spans="1:35" ht="12.5" hidden="1" x14ac:dyDescent="0.25">
      <c r="A166" s="1">
        <v>162</v>
      </c>
      <c r="B166" s="1" t="s">
        <v>606</v>
      </c>
      <c r="C166" s="1" t="s">
        <v>607</v>
      </c>
      <c r="D166" s="1" t="s">
        <v>560</v>
      </c>
      <c r="E166" s="1" t="s">
        <v>38</v>
      </c>
      <c r="F166" s="1" t="s">
        <v>74</v>
      </c>
      <c r="G166" s="1" t="s">
        <v>40</v>
      </c>
      <c r="H166" s="1" t="s">
        <v>88</v>
      </c>
      <c r="I166" s="1" t="s">
        <v>53</v>
      </c>
      <c r="J166" s="1">
        <v>5.6</v>
      </c>
      <c r="K166" s="1" t="s">
        <v>67</v>
      </c>
      <c r="L166" s="1" t="s">
        <v>114</v>
      </c>
      <c r="M166" s="1" t="s">
        <v>115</v>
      </c>
      <c r="N166" s="1" t="s">
        <v>46</v>
      </c>
      <c r="O166" s="2">
        <v>45717</v>
      </c>
      <c r="P166" s="2">
        <v>45719</v>
      </c>
      <c r="Q166" s="1" t="b">
        <v>1</v>
      </c>
      <c r="R166" s="1">
        <v>10</v>
      </c>
      <c r="S166" s="1" t="b">
        <v>1</v>
      </c>
      <c r="T166" s="2">
        <v>45720</v>
      </c>
      <c r="U166" s="1" t="b">
        <v>1</v>
      </c>
      <c r="V166" s="2">
        <v>45722</v>
      </c>
      <c r="W166" s="1" t="b">
        <v>1</v>
      </c>
      <c r="X166" s="2">
        <v>45723</v>
      </c>
      <c r="Y166" s="1">
        <v>55</v>
      </c>
      <c r="Z166" s="1">
        <v>82</v>
      </c>
      <c r="AA166" s="1">
        <v>68</v>
      </c>
      <c r="AB166" s="1" t="b">
        <v>0</v>
      </c>
      <c r="AD166" s="1" t="b">
        <v>0</v>
      </c>
      <c r="AF166" s="1" t="s">
        <v>47</v>
      </c>
      <c r="AG166" s="1" t="s">
        <v>117</v>
      </c>
      <c r="AH166" s="1">
        <v>6</v>
      </c>
      <c r="AI166" s="1" t="s">
        <v>58</v>
      </c>
    </row>
    <row r="167" spans="1:35" ht="12.5" x14ac:dyDescent="0.25">
      <c r="A167" s="1">
        <v>163</v>
      </c>
      <c r="B167" s="1" t="s">
        <v>608</v>
      </c>
      <c r="C167" s="1" t="s">
        <v>609</v>
      </c>
      <c r="D167" s="1" t="s">
        <v>393</v>
      </c>
      <c r="E167" s="1" t="s">
        <v>102</v>
      </c>
      <c r="F167" s="1" t="s">
        <v>39</v>
      </c>
      <c r="G167" s="1" t="s">
        <v>97</v>
      </c>
      <c r="H167" s="1" t="s">
        <v>41</v>
      </c>
      <c r="I167" s="1" t="s">
        <v>42</v>
      </c>
      <c r="J167" s="1">
        <v>6.5</v>
      </c>
      <c r="K167" s="1" t="s">
        <v>610</v>
      </c>
      <c r="L167" s="1" t="s">
        <v>114</v>
      </c>
      <c r="M167" s="1" t="s">
        <v>68</v>
      </c>
      <c r="N167" s="1" t="s">
        <v>46</v>
      </c>
      <c r="O167" s="2">
        <v>45703</v>
      </c>
      <c r="P167" s="2">
        <v>45706</v>
      </c>
      <c r="Q167" s="1" t="b">
        <v>0</v>
      </c>
      <c r="S167" s="1" t="b">
        <v>0</v>
      </c>
      <c r="U167" s="1" t="b">
        <v>0</v>
      </c>
      <c r="W167" s="1" t="b">
        <v>0</v>
      </c>
      <c r="Y167" s="1">
        <v>75</v>
      </c>
      <c r="Z167" s="1">
        <v>62</v>
      </c>
      <c r="AA167" s="1">
        <v>81</v>
      </c>
      <c r="AB167" s="1" t="b">
        <v>0</v>
      </c>
      <c r="AD167" s="1" t="b">
        <v>0</v>
      </c>
      <c r="AF167" s="1" t="s">
        <v>77</v>
      </c>
      <c r="AG167" s="1" t="s">
        <v>69</v>
      </c>
      <c r="AH167" s="1">
        <v>3</v>
      </c>
      <c r="AI167" s="1" t="s">
        <v>157</v>
      </c>
    </row>
    <row r="168" spans="1:35" ht="12.5" hidden="1" x14ac:dyDescent="0.25">
      <c r="A168" s="1">
        <v>164</v>
      </c>
      <c r="B168" s="1" t="s">
        <v>611</v>
      </c>
      <c r="C168" s="1" t="s">
        <v>612</v>
      </c>
      <c r="D168" s="1" t="s">
        <v>613</v>
      </c>
      <c r="E168" s="1" t="s">
        <v>38</v>
      </c>
      <c r="F168" s="1" t="s">
        <v>39</v>
      </c>
      <c r="G168" s="1" t="s">
        <v>64</v>
      </c>
      <c r="H168" s="1" t="s">
        <v>65</v>
      </c>
      <c r="I168" s="1" t="s">
        <v>53</v>
      </c>
      <c r="J168" s="1">
        <v>4.7</v>
      </c>
      <c r="K168" s="1" t="s">
        <v>145</v>
      </c>
      <c r="L168" s="1" t="s">
        <v>44</v>
      </c>
      <c r="M168" s="1" t="s">
        <v>123</v>
      </c>
      <c r="N168" s="1" t="s">
        <v>92</v>
      </c>
      <c r="O168" s="2">
        <v>45795</v>
      </c>
      <c r="P168" s="2">
        <v>45798</v>
      </c>
      <c r="Q168" s="1" t="b">
        <v>1</v>
      </c>
      <c r="R168" s="1">
        <v>7</v>
      </c>
      <c r="S168" s="1" t="b">
        <v>1</v>
      </c>
      <c r="T168" s="2">
        <v>45807</v>
      </c>
      <c r="U168" s="1" t="b">
        <v>1</v>
      </c>
      <c r="V168" s="2">
        <v>45818</v>
      </c>
      <c r="W168" s="1" t="b">
        <v>1</v>
      </c>
      <c r="X168" s="2">
        <v>45828</v>
      </c>
      <c r="Y168" s="1">
        <v>92</v>
      </c>
      <c r="Z168" s="1">
        <v>47</v>
      </c>
      <c r="AA168" s="1">
        <v>67</v>
      </c>
      <c r="AB168" s="1" t="b">
        <v>0</v>
      </c>
      <c r="AD168" s="1" t="b">
        <v>0</v>
      </c>
      <c r="AF168" s="1" t="s">
        <v>47</v>
      </c>
      <c r="AG168" s="1" t="s">
        <v>234</v>
      </c>
      <c r="AH168" s="1">
        <v>33</v>
      </c>
      <c r="AI168" s="1" t="s">
        <v>135</v>
      </c>
    </row>
    <row r="169" spans="1:35" ht="12.5" hidden="1" x14ac:dyDescent="0.25">
      <c r="A169" s="1">
        <v>165</v>
      </c>
      <c r="B169" s="1" t="s">
        <v>614</v>
      </c>
      <c r="C169" s="1" t="s">
        <v>615</v>
      </c>
      <c r="D169" s="1" t="s">
        <v>164</v>
      </c>
      <c r="E169" s="1" t="s">
        <v>52</v>
      </c>
      <c r="F169" s="1" t="s">
        <v>39</v>
      </c>
      <c r="G169" s="1" t="s">
        <v>112</v>
      </c>
      <c r="H169" s="1" t="s">
        <v>65</v>
      </c>
      <c r="I169" s="1" t="s">
        <v>82</v>
      </c>
      <c r="J169" s="1">
        <v>1.8</v>
      </c>
      <c r="K169" s="1" t="s">
        <v>571</v>
      </c>
      <c r="L169" s="1" t="s">
        <v>90</v>
      </c>
      <c r="M169" s="1" t="s">
        <v>56</v>
      </c>
      <c r="N169" s="1" t="s">
        <v>116</v>
      </c>
      <c r="O169" s="2">
        <v>45762</v>
      </c>
      <c r="P169" s="2">
        <v>45765</v>
      </c>
      <c r="Q169" s="1" t="b">
        <v>1</v>
      </c>
      <c r="R169" s="1">
        <v>5</v>
      </c>
      <c r="S169" s="1" t="b">
        <v>1</v>
      </c>
      <c r="T169" s="2">
        <v>45769</v>
      </c>
      <c r="U169" s="1" t="b">
        <v>1</v>
      </c>
      <c r="V169" s="2">
        <v>45771</v>
      </c>
      <c r="W169" s="1" t="b">
        <v>1</v>
      </c>
      <c r="X169" s="2">
        <v>45781</v>
      </c>
      <c r="Y169" s="1">
        <v>87</v>
      </c>
      <c r="Z169" s="1">
        <v>76</v>
      </c>
      <c r="AA169" s="1">
        <v>72</v>
      </c>
      <c r="AB169" s="1" t="b">
        <v>0</v>
      </c>
      <c r="AD169" s="1" t="b">
        <v>0</v>
      </c>
      <c r="AF169" s="1" t="s">
        <v>47</v>
      </c>
      <c r="AG169" s="1" t="s">
        <v>207</v>
      </c>
      <c r="AH169" s="1">
        <v>19</v>
      </c>
      <c r="AI169" s="1" t="s">
        <v>78</v>
      </c>
    </row>
    <row r="170" spans="1:35" ht="12.5" hidden="1" x14ac:dyDescent="0.25">
      <c r="A170" s="1">
        <v>166</v>
      </c>
      <c r="B170" s="1" t="s">
        <v>616</v>
      </c>
      <c r="C170" s="1" t="s">
        <v>617</v>
      </c>
      <c r="D170" s="1" t="s">
        <v>138</v>
      </c>
      <c r="E170" s="1" t="s">
        <v>102</v>
      </c>
      <c r="F170" s="1" t="s">
        <v>63</v>
      </c>
      <c r="G170" s="1" t="s">
        <v>64</v>
      </c>
      <c r="H170" s="1" t="s">
        <v>88</v>
      </c>
      <c r="I170" s="1" t="s">
        <v>82</v>
      </c>
      <c r="J170" s="1">
        <v>0</v>
      </c>
      <c r="K170" s="1" t="s">
        <v>618</v>
      </c>
      <c r="L170" s="1" t="s">
        <v>114</v>
      </c>
      <c r="M170" s="1" t="s">
        <v>129</v>
      </c>
      <c r="N170" s="1" t="s">
        <v>116</v>
      </c>
      <c r="O170" s="2">
        <v>45716</v>
      </c>
      <c r="P170" s="2">
        <v>45719</v>
      </c>
      <c r="Q170" s="1" t="b">
        <v>1</v>
      </c>
      <c r="R170" s="1">
        <v>9</v>
      </c>
      <c r="S170" s="1" t="b">
        <v>0</v>
      </c>
      <c r="U170" s="1" t="b">
        <v>0</v>
      </c>
      <c r="W170" s="1" t="b">
        <v>0</v>
      </c>
      <c r="Y170" s="1">
        <v>62</v>
      </c>
      <c r="Z170" s="1">
        <v>62</v>
      </c>
      <c r="AA170" s="1">
        <v>52</v>
      </c>
      <c r="AB170" s="1" t="b">
        <v>0</v>
      </c>
      <c r="AD170" s="1" t="b">
        <v>0</v>
      </c>
      <c r="AF170" s="1" t="s">
        <v>57</v>
      </c>
      <c r="AH170" s="1">
        <v>3</v>
      </c>
      <c r="AI170" s="1" t="s">
        <v>215</v>
      </c>
    </row>
    <row r="171" spans="1:35" ht="12.5" x14ac:dyDescent="0.25">
      <c r="A171" s="1">
        <v>167</v>
      </c>
      <c r="B171" s="1" t="s">
        <v>619</v>
      </c>
      <c r="C171" s="1" t="s">
        <v>620</v>
      </c>
      <c r="D171" s="1" t="s">
        <v>205</v>
      </c>
      <c r="E171" s="1" t="s">
        <v>62</v>
      </c>
      <c r="F171" s="1" t="s">
        <v>74</v>
      </c>
      <c r="G171" s="1" t="s">
        <v>112</v>
      </c>
      <c r="H171" s="1" t="s">
        <v>41</v>
      </c>
      <c r="I171" s="1" t="s">
        <v>53</v>
      </c>
      <c r="J171" s="1">
        <v>2.2000000000000002</v>
      </c>
      <c r="K171" s="1" t="s">
        <v>257</v>
      </c>
      <c r="L171" s="1" t="s">
        <v>67</v>
      </c>
      <c r="M171" s="1" t="s">
        <v>129</v>
      </c>
      <c r="N171" s="1" t="s">
        <v>92</v>
      </c>
      <c r="O171" s="2">
        <v>45697</v>
      </c>
      <c r="P171" s="2">
        <v>45701</v>
      </c>
      <c r="Q171" s="1" t="b">
        <v>0</v>
      </c>
      <c r="S171" s="1" t="b">
        <v>0</v>
      </c>
      <c r="U171" s="1" t="b">
        <v>0</v>
      </c>
      <c r="W171" s="1" t="b">
        <v>0</v>
      </c>
      <c r="Y171" s="1">
        <v>48</v>
      </c>
      <c r="Z171" s="1">
        <v>63</v>
      </c>
      <c r="AA171" s="1">
        <v>51</v>
      </c>
      <c r="AB171" s="1" t="b">
        <v>0</v>
      </c>
      <c r="AD171" s="1" t="b">
        <v>0</v>
      </c>
      <c r="AF171" s="1" t="s">
        <v>77</v>
      </c>
      <c r="AG171" s="1" t="s">
        <v>69</v>
      </c>
      <c r="AH171" s="1">
        <v>4</v>
      </c>
      <c r="AI171" s="1" t="s">
        <v>118</v>
      </c>
    </row>
    <row r="172" spans="1:35" ht="12.5" hidden="1" x14ac:dyDescent="0.25">
      <c r="A172" s="1">
        <v>168</v>
      </c>
      <c r="B172" s="1" t="s">
        <v>621</v>
      </c>
      <c r="C172" s="1" t="s">
        <v>622</v>
      </c>
      <c r="D172" s="1" t="s">
        <v>623</v>
      </c>
      <c r="E172" s="1" t="s">
        <v>62</v>
      </c>
      <c r="F172" s="1" t="s">
        <v>111</v>
      </c>
      <c r="G172" s="1" t="s">
        <v>40</v>
      </c>
      <c r="H172" s="1" t="s">
        <v>65</v>
      </c>
      <c r="I172" s="1" t="s">
        <v>82</v>
      </c>
      <c r="J172" s="1">
        <v>1.3</v>
      </c>
      <c r="K172" s="1" t="s">
        <v>624</v>
      </c>
      <c r="L172" s="1" t="s">
        <v>44</v>
      </c>
      <c r="M172" s="1" t="s">
        <v>146</v>
      </c>
      <c r="N172" s="1" t="s">
        <v>84</v>
      </c>
      <c r="O172" s="2">
        <v>45719</v>
      </c>
      <c r="P172" s="2">
        <v>45719</v>
      </c>
      <c r="Q172" s="1" t="b">
        <v>1</v>
      </c>
      <c r="R172" s="1">
        <v>8</v>
      </c>
      <c r="S172" s="1" t="b">
        <v>1</v>
      </c>
      <c r="T172" s="2">
        <v>45727</v>
      </c>
      <c r="U172" s="1" t="b">
        <v>1</v>
      </c>
      <c r="V172" s="2">
        <v>45734</v>
      </c>
      <c r="W172" s="1" t="b">
        <v>1</v>
      </c>
      <c r="X172" s="2">
        <v>45736</v>
      </c>
      <c r="Y172" s="1">
        <v>77</v>
      </c>
      <c r="Z172" s="1">
        <v>66</v>
      </c>
      <c r="AA172" s="1">
        <v>74</v>
      </c>
      <c r="AB172" s="1" t="b">
        <v>0</v>
      </c>
      <c r="AD172" s="1" t="b">
        <v>0</v>
      </c>
      <c r="AF172" s="1" t="s">
        <v>47</v>
      </c>
      <c r="AH172" s="1">
        <v>17</v>
      </c>
      <c r="AI172" s="1" t="s">
        <v>215</v>
      </c>
    </row>
    <row r="173" spans="1:35" ht="12.5" hidden="1" x14ac:dyDescent="0.25">
      <c r="A173" s="1">
        <v>169</v>
      </c>
      <c r="B173" s="1" t="s">
        <v>625</v>
      </c>
      <c r="C173" s="1" t="s">
        <v>626</v>
      </c>
      <c r="D173" s="1" t="s">
        <v>155</v>
      </c>
      <c r="E173" s="1" t="s">
        <v>102</v>
      </c>
      <c r="F173" s="1" t="s">
        <v>74</v>
      </c>
      <c r="G173" s="1" t="s">
        <v>139</v>
      </c>
      <c r="H173" s="1" t="s">
        <v>88</v>
      </c>
      <c r="I173" s="1" t="s">
        <v>82</v>
      </c>
      <c r="J173" s="1">
        <v>2.2999999999999998</v>
      </c>
      <c r="K173" s="1" t="s">
        <v>257</v>
      </c>
      <c r="L173" s="1" t="s">
        <v>141</v>
      </c>
      <c r="M173" s="1" t="s">
        <v>115</v>
      </c>
      <c r="N173" s="1" t="s">
        <v>92</v>
      </c>
      <c r="O173" s="2">
        <v>45733</v>
      </c>
      <c r="P173" s="2">
        <v>45736</v>
      </c>
      <c r="Q173" s="1" t="b">
        <v>1</v>
      </c>
      <c r="R173" s="1">
        <v>7</v>
      </c>
      <c r="S173" s="1" t="b">
        <v>1</v>
      </c>
      <c r="T173" s="2">
        <v>45744</v>
      </c>
      <c r="U173" s="1" t="b">
        <v>1</v>
      </c>
      <c r="V173" s="2">
        <v>45758</v>
      </c>
      <c r="W173" s="1" t="b">
        <v>0</v>
      </c>
      <c r="Y173" s="1">
        <v>52</v>
      </c>
      <c r="Z173" s="1">
        <v>68</v>
      </c>
      <c r="AA173" s="1">
        <v>48</v>
      </c>
      <c r="AB173" s="1" t="b">
        <v>0</v>
      </c>
      <c r="AD173" s="1" t="b">
        <v>0</v>
      </c>
      <c r="AF173" s="1" t="s">
        <v>105</v>
      </c>
      <c r="AH173" s="1">
        <v>25</v>
      </c>
      <c r="AI173" s="1" t="s">
        <v>157</v>
      </c>
    </row>
    <row r="174" spans="1:35" ht="12.5" x14ac:dyDescent="0.25">
      <c r="A174" s="1">
        <v>170</v>
      </c>
      <c r="B174" s="1" t="s">
        <v>627</v>
      </c>
      <c r="C174" s="1" t="s">
        <v>628</v>
      </c>
      <c r="D174" s="1" t="s">
        <v>271</v>
      </c>
      <c r="E174" s="1" t="s">
        <v>62</v>
      </c>
      <c r="F174" s="1" t="s">
        <v>39</v>
      </c>
      <c r="G174" s="1" t="s">
        <v>112</v>
      </c>
      <c r="H174" s="1" t="s">
        <v>88</v>
      </c>
      <c r="I174" s="1" t="s">
        <v>53</v>
      </c>
      <c r="J174" s="1">
        <v>3</v>
      </c>
      <c r="K174" s="1" t="s">
        <v>140</v>
      </c>
      <c r="L174" s="1" t="s">
        <v>114</v>
      </c>
      <c r="M174" s="1" t="s">
        <v>45</v>
      </c>
      <c r="N174" s="1" t="s">
        <v>116</v>
      </c>
      <c r="O174" s="2">
        <v>45720</v>
      </c>
      <c r="P174" s="2">
        <v>45720</v>
      </c>
      <c r="Q174" s="1" t="b">
        <v>0</v>
      </c>
      <c r="S174" s="1" t="b">
        <v>0</v>
      </c>
      <c r="U174" s="1" t="b">
        <v>0</v>
      </c>
      <c r="W174" s="1" t="b">
        <v>0</v>
      </c>
      <c r="Y174" s="1">
        <v>54</v>
      </c>
      <c r="Z174" s="1">
        <v>68</v>
      </c>
      <c r="AA174" s="1">
        <v>71</v>
      </c>
      <c r="AB174" s="1" t="b">
        <v>0</v>
      </c>
      <c r="AD174" s="1" t="b">
        <v>0</v>
      </c>
      <c r="AF174" s="1" t="s">
        <v>77</v>
      </c>
      <c r="AG174" s="1" t="s">
        <v>69</v>
      </c>
      <c r="AH174" s="1">
        <v>0</v>
      </c>
      <c r="AI174" s="1" t="s">
        <v>58</v>
      </c>
    </row>
    <row r="175" spans="1:35" ht="12.5" hidden="1" x14ac:dyDescent="0.25">
      <c r="A175" s="1">
        <v>171</v>
      </c>
      <c r="B175" s="1" t="s">
        <v>629</v>
      </c>
      <c r="C175" s="1" t="s">
        <v>630</v>
      </c>
      <c r="D175" s="1" t="s">
        <v>371</v>
      </c>
      <c r="E175" s="1" t="s">
        <v>52</v>
      </c>
      <c r="F175" s="1" t="s">
        <v>111</v>
      </c>
      <c r="G175" s="1" t="s">
        <v>75</v>
      </c>
      <c r="H175" s="1" t="s">
        <v>41</v>
      </c>
      <c r="I175" s="1" t="s">
        <v>42</v>
      </c>
      <c r="J175" s="1">
        <v>6.3</v>
      </c>
      <c r="K175" s="1" t="s">
        <v>161</v>
      </c>
      <c r="L175" s="1" t="s">
        <v>67</v>
      </c>
      <c r="M175" s="1" t="s">
        <v>45</v>
      </c>
      <c r="N175" s="1" t="s">
        <v>92</v>
      </c>
      <c r="O175" s="2">
        <v>45719</v>
      </c>
      <c r="P175" s="2">
        <v>45726</v>
      </c>
      <c r="Q175" s="1" t="b">
        <v>1</v>
      </c>
      <c r="R175" s="1">
        <v>11</v>
      </c>
      <c r="S175" s="1" t="b">
        <v>1</v>
      </c>
      <c r="T175" s="2">
        <v>45734</v>
      </c>
      <c r="U175" s="1" t="b">
        <v>0</v>
      </c>
      <c r="W175" s="1" t="b">
        <v>0</v>
      </c>
      <c r="Y175" s="1">
        <v>87</v>
      </c>
      <c r="Z175" s="1">
        <v>74</v>
      </c>
      <c r="AA175" s="1">
        <v>74</v>
      </c>
      <c r="AB175" s="1" t="b">
        <v>0</v>
      </c>
      <c r="AD175" s="1" t="b">
        <v>0</v>
      </c>
      <c r="AF175" s="1" t="s">
        <v>151</v>
      </c>
      <c r="AG175" s="1" t="s">
        <v>176</v>
      </c>
      <c r="AH175" s="1">
        <v>15</v>
      </c>
      <c r="AI175" s="1" t="s">
        <v>135</v>
      </c>
    </row>
    <row r="176" spans="1:35" ht="12.5" hidden="1" x14ac:dyDescent="0.25">
      <c r="A176" s="1">
        <v>172</v>
      </c>
      <c r="B176" s="1" t="s">
        <v>631</v>
      </c>
      <c r="C176" s="1" t="s">
        <v>632</v>
      </c>
      <c r="D176" s="1" t="s">
        <v>633</v>
      </c>
      <c r="E176" s="1" t="s">
        <v>38</v>
      </c>
      <c r="F176" s="1" t="s">
        <v>111</v>
      </c>
      <c r="G176" s="1" t="s">
        <v>112</v>
      </c>
      <c r="H176" s="1" t="s">
        <v>41</v>
      </c>
      <c r="I176" s="1" t="s">
        <v>53</v>
      </c>
      <c r="J176" s="1">
        <v>5.9</v>
      </c>
      <c r="K176" s="1" t="s">
        <v>233</v>
      </c>
      <c r="L176" s="1" t="s">
        <v>114</v>
      </c>
      <c r="M176" s="1" t="s">
        <v>68</v>
      </c>
      <c r="N176" s="1" t="s">
        <v>46</v>
      </c>
      <c r="O176" s="2">
        <v>45687</v>
      </c>
      <c r="P176" s="2">
        <v>45687</v>
      </c>
      <c r="Q176" s="1" t="b">
        <v>1</v>
      </c>
      <c r="R176" s="1">
        <v>8</v>
      </c>
      <c r="S176" s="1" t="b">
        <v>1</v>
      </c>
      <c r="T176" s="2">
        <v>45690</v>
      </c>
      <c r="U176" s="1" t="b">
        <v>1</v>
      </c>
      <c r="V176" s="2">
        <v>45703</v>
      </c>
      <c r="W176" s="1" t="b">
        <v>1</v>
      </c>
      <c r="X176" s="2">
        <v>45706</v>
      </c>
      <c r="Y176" s="1">
        <v>73</v>
      </c>
      <c r="Z176" s="1">
        <v>61</v>
      </c>
      <c r="AA176" s="1">
        <v>46</v>
      </c>
      <c r="AB176" s="1" t="b">
        <v>0</v>
      </c>
      <c r="AD176" s="1" t="b">
        <v>0</v>
      </c>
      <c r="AF176" s="1" t="s">
        <v>47</v>
      </c>
      <c r="AG176" s="1" t="s">
        <v>152</v>
      </c>
      <c r="AH176" s="1">
        <v>19</v>
      </c>
      <c r="AI176" s="1" t="s">
        <v>157</v>
      </c>
    </row>
    <row r="177" spans="1:35" ht="12.5" hidden="1" x14ac:dyDescent="0.25">
      <c r="A177" s="1">
        <v>173</v>
      </c>
      <c r="B177" s="1" t="s">
        <v>634</v>
      </c>
      <c r="C177" s="1" t="s">
        <v>635</v>
      </c>
      <c r="D177" s="1" t="s">
        <v>171</v>
      </c>
      <c r="E177" s="1" t="s">
        <v>102</v>
      </c>
      <c r="F177" s="1" t="s">
        <v>39</v>
      </c>
      <c r="G177" s="1" t="s">
        <v>64</v>
      </c>
      <c r="H177" s="1" t="s">
        <v>65</v>
      </c>
      <c r="I177" s="1" t="s">
        <v>103</v>
      </c>
      <c r="J177" s="1">
        <v>9.3000000000000007</v>
      </c>
      <c r="K177" s="1" t="s">
        <v>618</v>
      </c>
      <c r="L177" s="1" t="s">
        <v>141</v>
      </c>
      <c r="M177" s="1" t="s">
        <v>123</v>
      </c>
      <c r="N177" s="1" t="s">
        <v>84</v>
      </c>
      <c r="O177" s="2">
        <v>45788</v>
      </c>
      <c r="P177" s="2">
        <v>45790</v>
      </c>
      <c r="Q177" s="1" t="b">
        <v>1</v>
      </c>
      <c r="R177" s="1">
        <v>6</v>
      </c>
      <c r="S177" s="1" t="b">
        <v>1</v>
      </c>
      <c r="T177" s="2">
        <v>45799</v>
      </c>
      <c r="U177" s="1" t="b">
        <v>1</v>
      </c>
      <c r="V177" s="2">
        <v>45806</v>
      </c>
      <c r="W177" s="1" t="b">
        <v>1</v>
      </c>
      <c r="X177" s="2">
        <v>45816</v>
      </c>
      <c r="Y177" s="1">
        <v>58</v>
      </c>
      <c r="Z177" s="1">
        <v>88</v>
      </c>
      <c r="AA177" s="1">
        <v>73</v>
      </c>
      <c r="AB177" s="1" t="b">
        <v>0</v>
      </c>
      <c r="AD177" s="1" t="b">
        <v>0</v>
      </c>
      <c r="AF177" s="1" t="s">
        <v>47</v>
      </c>
      <c r="AG177" s="1" t="s">
        <v>124</v>
      </c>
      <c r="AH177" s="1">
        <v>28</v>
      </c>
      <c r="AI177" s="1" t="s">
        <v>165</v>
      </c>
    </row>
    <row r="178" spans="1:35" ht="12.5" x14ac:dyDescent="0.25">
      <c r="A178" s="1">
        <v>174</v>
      </c>
      <c r="B178" s="1" t="s">
        <v>636</v>
      </c>
      <c r="C178" s="1" t="s">
        <v>637</v>
      </c>
      <c r="D178" s="1" t="s">
        <v>638</v>
      </c>
      <c r="E178" s="1" t="s">
        <v>102</v>
      </c>
      <c r="F178" s="1" t="s">
        <v>74</v>
      </c>
      <c r="G178" s="1" t="s">
        <v>40</v>
      </c>
      <c r="H178" s="1" t="s">
        <v>65</v>
      </c>
      <c r="I178" s="1" t="s">
        <v>42</v>
      </c>
      <c r="J178" s="1">
        <v>8.5</v>
      </c>
      <c r="K178" s="1" t="s">
        <v>349</v>
      </c>
      <c r="L178" s="1" t="s">
        <v>67</v>
      </c>
      <c r="M178" s="1" t="s">
        <v>91</v>
      </c>
      <c r="N178" s="1" t="s">
        <v>84</v>
      </c>
      <c r="O178" s="2">
        <v>45677</v>
      </c>
      <c r="P178" s="2">
        <v>45677</v>
      </c>
      <c r="Q178" s="1" t="b">
        <v>0</v>
      </c>
      <c r="S178" s="1" t="b">
        <v>0</v>
      </c>
      <c r="U178" s="1" t="b">
        <v>0</v>
      </c>
      <c r="W178" s="1" t="b">
        <v>0</v>
      </c>
      <c r="Y178" s="1">
        <v>80</v>
      </c>
      <c r="Z178" s="1">
        <v>78</v>
      </c>
      <c r="AA178" s="1">
        <v>85</v>
      </c>
      <c r="AB178" s="1" t="b">
        <v>0</v>
      </c>
      <c r="AD178" s="1" t="b">
        <v>0</v>
      </c>
      <c r="AF178" s="1" t="s">
        <v>77</v>
      </c>
      <c r="AG178" s="1" t="s">
        <v>69</v>
      </c>
      <c r="AH178" s="1">
        <v>0</v>
      </c>
      <c r="AI178" s="1" t="s">
        <v>58</v>
      </c>
    </row>
    <row r="179" spans="1:35" ht="12.5" hidden="1" x14ac:dyDescent="0.25">
      <c r="A179" s="1">
        <v>175</v>
      </c>
      <c r="B179" s="1" t="s">
        <v>639</v>
      </c>
      <c r="C179" s="1" t="s">
        <v>640</v>
      </c>
      <c r="D179" s="1" t="s">
        <v>641</v>
      </c>
      <c r="E179" s="1" t="s">
        <v>102</v>
      </c>
      <c r="F179" s="1" t="s">
        <v>74</v>
      </c>
      <c r="G179" s="1" t="s">
        <v>139</v>
      </c>
      <c r="H179" s="1" t="s">
        <v>41</v>
      </c>
      <c r="I179" s="1" t="s">
        <v>82</v>
      </c>
      <c r="J179" s="1">
        <v>1.5</v>
      </c>
      <c r="K179" s="1" t="s">
        <v>642</v>
      </c>
      <c r="L179" s="1" t="s">
        <v>67</v>
      </c>
      <c r="M179" s="1" t="s">
        <v>115</v>
      </c>
      <c r="N179" s="1" t="s">
        <v>92</v>
      </c>
      <c r="O179" s="2">
        <v>45797</v>
      </c>
      <c r="P179" s="2">
        <v>45803</v>
      </c>
      <c r="Q179" s="1" t="b">
        <v>1</v>
      </c>
      <c r="R179" s="1">
        <v>5</v>
      </c>
      <c r="S179" s="1" t="b">
        <v>1</v>
      </c>
      <c r="T179" s="2">
        <v>45812</v>
      </c>
      <c r="U179" s="1" t="b">
        <v>0</v>
      </c>
      <c r="W179" s="1" t="b">
        <v>0</v>
      </c>
      <c r="Y179" s="1">
        <v>54</v>
      </c>
      <c r="Z179" s="1">
        <v>79</v>
      </c>
      <c r="AA179" s="1">
        <v>63</v>
      </c>
      <c r="AB179" s="1" t="b">
        <v>0</v>
      </c>
      <c r="AD179" s="1" t="b">
        <v>0</v>
      </c>
      <c r="AF179" s="1" t="s">
        <v>151</v>
      </c>
      <c r="AG179" s="1" t="s">
        <v>287</v>
      </c>
      <c r="AH179" s="1">
        <v>15</v>
      </c>
      <c r="AI179" s="1" t="s">
        <v>48</v>
      </c>
    </row>
    <row r="180" spans="1:35" ht="12.5" hidden="1" x14ac:dyDescent="0.25">
      <c r="A180" s="1">
        <v>176</v>
      </c>
      <c r="B180" s="1" t="s">
        <v>643</v>
      </c>
      <c r="C180" s="1" t="s">
        <v>644</v>
      </c>
      <c r="D180" s="1" t="s">
        <v>253</v>
      </c>
      <c r="E180" s="1" t="s">
        <v>102</v>
      </c>
      <c r="F180" s="1" t="s">
        <v>39</v>
      </c>
      <c r="G180" s="1" t="s">
        <v>112</v>
      </c>
      <c r="H180" s="1" t="s">
        <v>65</v>
      </c>
      <c r="I180" s="1" t="s">
        <v>53</v>
      </c>
      <c r="J180" s="1">
        <v>7.1</v>
      </c>
      <c r="K180" s="1" t="s">
        <v>645</v>
      </c>
      <c r="L180" s="1" t="s">
        <v>141</v>
      </c>
      <c r="M180" s="1" t="s">
        <v>91</v>
      </c>
      <c r="N180" s="1" t="s">
        <v>92</v>
      </c>
      <c r="O180" s="2">
        <v>45674</v>
      </c>
      <c r="P180" s="2">
        <v>45676</v>
      </c>
      <c r="Q180" s="1" t="b">
        <v>1</v>
      </c>
      <c r="R180" s="1">
        <v>6</v>
      </c>
      <c r="S180" s="1" t="b">
        <v>0</v>
      </c>
      <c r="U180" s="1" t="b">
        <v>0</v>
      </c>
      <c r="W180" s="1" t="b">
        <v>0</v>
      </c>
      <c r="Y180" s="1">
        <v>81</v>
      </c>
      <c r="Z180" s="1">
        <v>67</v>
      </c>
      <c r="AA180" s="1">
        <v>74</v>
      </c>
      <c r="AB180" s="1" t="b">
        <v>0</v>
      </c>
      <c r="AD180" s="1" t="b">
        <v>0</v>
      </c>
      <c r="AF180" s="1" t="s">
        <v>57</v>
      </c>
      <c r="AG180" s="1" t="s">
        <v>207</v>
      </c>
      <c r="AH180" s="1">
        <v>2</v>
      </c>
      <c r="AI180" s="1" t="s">
        <v>78</v>
      </c>
    </row>
    <row r="181" spans="1:35" ht="12.5" hidden="1" x14ac:dyDescent="0.25">
      <c r="A181" s="1">
        <v>177</v>
      </c>
      <c r="B181" s="1" t="s">
        <v>646</v>
      </c>
      <c r="C181" s="1" t="s">
        <v>647</v>
      </c>
      <c r="D181" s="1" t="s">
        <v>249</v>
      </c>
      <c r="E181" s="1" t="s">
        <v>62</v>
      </c>
      <c r="F181" s="1" t="s">
        <v>74</v>
      </c>
      <c r="G181" s="1" t="s">
        <v>64</v>
      </c>
      <c r="H181" s="1" t="s">
        <v>65</v>
      </c>
      <c r="I181" s="1" t="s">
        <v>53</v>
      </c>
      <c r="J181" s="1">
        <v>5.8</v>
      </c>
      <c r="K181" s="1" t="s">
        <v>648</v>
      </c>
      <c r="L181" s="1" t="s">
        <v>44</v>
      </c>
      <c r="M181" s="1" t="s">
        <v>146</v>
      </c>
      <c r="N181" s="1" t="s">
        <v>92</v>
      </c>
      <c r="O181" s="2">
        <v>45717</v>
      </c>
      <c r="P181" s="2">
        <v>45720</v>
      </c>
      <c r="Q181" s="1" t="b">
        <v>1</v>
      </c>
      <c r="R181" s="1">
        <v>9</v>
      </c>
      <c r="S181" s="1" t="b">
        <v>0</v>
      </c>
      <c r="U181" s="1" t="b">
        <v>0</v>
      </c>
      <c r="W181" s="1" t="b">
        <v>0</v>
      </c>
      <c r="Y181" s="1">
        <v>73</v>
      </c>
      <c r="Z181" s="1">
        <v>83</v>
      </c>
      <c r="AA181" s="1">
        <v>85</v>
      </c>
      <c r="AB181" s="1" t="b">
        <v>0</v>
      </c>
      <c r="AD181" s="1" t="b">
        <v>0</v>
      </c>
      <c r="AF181" s="1" t="s">
        <v>57</v>
      </c>
      <c r="AH181" s="1">
        <v>3</v>
      </c>
      <c r="AI181" s="1" t="s">
        <v>78</v>
      </c>
    </row>
    <row r="182" spans="1:35" ht="12.5" hidden="1" x14ac:dyDescent="0.25">
      <c r="A182" s="1">
        <v>178</v>
      </c>
      <c r="B182" s="1" t="s">
        <v>649</v>
      </c>
      <c r="C182" s="1" t="s">
        <v>650</v>
      </c>
      <c r="D182" s="1" t="s">
        <v>418</v>
      </c>
      <c r="E182" s="1" t="s">
        <v>102</v>
      </c>
      <c r="F182" s="1" t="s">
        <v>63</v>
      </c>
      <c r="G182" s="1" t="s">
        <v>75</v>
      </c>
      <c r="H182" s="1" t="s">
        <v>41</v>
      </c>
      <c r="I182" s="1" t="s">
        <v>53</v>
      </c>
      <c r="J182" s="1">
        <v>4.5999999999999996</v>
      </c>
      <c r="K182" s="1" t="s">
        <v>332</v>
      </c>
      <c r="L182" s="1" t="s">
        <v>67</v>
      </c>
      <c r="M182" s="1" t="s">
        <v>146</v>
      </c>
      <c r="N182" s="1" t="s">
        <v>46</v>
      </c>
      <c r="O182" s="2">
        <v>45696</v>
      </c>
      <c r="P182" s="2">
        <v>45701</v>
      </c>
      <c r="Q182" s="1" t="b">
        <v>1</v>
      </c>
      <c r="R182" s="1">
        <v>10</v>
      </c>
      <c r="S182" s="1" t="b">
        <v>1</v>
      </c>
      <c r="T182" s="2">
        <v>45708</v>
      </c>
      <c r="U182" s="1" t="b">
        <v>1</v>
      </c>
      <c r="V182" s="2">
        <v>45710</v>
      </c>
      <c r="W182" s="1" t="b">
        <v>1</v>
      </c>
      <c r="X182" s="2">
        <v>45712</v>
      </c>
      <c r="Y182" s="1">
        <v>62</v>
      </c>
      <c r="Z182" s="1">
        <v>86</v>
      </c>
      <c r="AA182" s="1">
        <v>67</v>
      </c>
      <c r="AB182" s="1" t="b">
        <v>0</v>
      </c>
      <c r="AD182" s="1" t="b">
        <v>0</v>
      </c>
      <c r="AF182" s="1" t="s">
        <v>47</v>
      </c>
      <c r="AG182" s="1" t="s">
        <v>287</v>
      </c>
      <c r="AH182" s="1">
        <v>16</v>
      </c>
      <c r="AI182" s="1" t="s">
        <v>93</v>
      </c>
    </row>
    <row r="183" spans="1:35" ht="12.5" x14ac:dyDescent="0.25">
      <c r="A183" s="1">
        <v>179</v>
      </c>
      <c r="B183" s="1" t="s">
        <v>651</v>
      </c>
      <c r="C183" s="1" t="s">
        <v>652</v>
      </c>
      <c r="D183" s="1" t="s">
        <v>81</v>
      </c>
      <c r="E183" s="1" t="s">
        <v>38</v>
      </c>
      <c r="F183" s="1" t="s">
        <v>111</v>
      </c>
      <c r="G183" s="1" t="s">
        <v>97</v>
      </c>
      <c r="H183" s="1" t="s">
        <v>65</v>
      </c>
      <c r="I183" s="1" t="s">
        <v>42</v>
      </c>
      <c r="J183" s="1">
        <v>6.2</v>
      </c>
      <c r="K183" s="1" t="s">
        <v>379</v>
      </c>
      <c r="L183" s="1" t="s">
        <v>141</v>
      </c>
      <c r="M183" s="1" t="s">
        <v>56</v>
      </c>
      <c r="N183" s="1" t="s">
        <v>92</v>
      </c>
      <c r="O183" s="2">
        <v>45799</v>
      </c>
      <c r="P183" s="2">
        <v>45800</v>
      </c>
      <c r="Q183" s="1" t="b">
        <v>0</v>
      </c>
      <c r="S183" s="1" t="b">
        <v>0</v>
      </c>
      <c r="U183" s="1" t="b">
        <v>0</v>
      </c>
      <c r="W183" s="1" t="b">
        <v>0</v>
      </c>
      <c r="Y183" s="1">
        <v>72</v>
      </c>
      <c r="Z183" s="1">
        <v>85</v>
      </c>
      <c r="AA183" s="1">
        <v>81</v>
      </c>
      <c r="AB183" s="1" t="b">
        <v>0</v>
      </c>
      <c r="AD183" s="1" t="b">
        <v>0</v>
      </c>
      <c r="AF183" s="1" t="s">
        <v>77</v>
      </c>
      <c r="AG183" s="1" t="s">
        <v>69</v>
      </c>
      <c r="AH183" s="1">
        <v>1</v>
      </c>
      <c r="AI183" s="1" t="s">
        <v>165</v>
      </c>
    </row>
    <row r="184" spans="1:35" ht="12.5" x14ac:dyDescent="0.25">
      <c r="A184" s="1">
        <v>180</v>
      </c>
      <c r="B184" s="1" t="s">
        <v>653</v>
      </c>
      <c r="C184" s="1" t="s">
        <v>654</v>
      </c>
      <c r="D184" s="1" t="s">
        <v>174</v>
      </c>
      <c r="E184" s="1" t="s">
        <v>52</v>
      </c>
      <c r="F184" s="1" t="s">
        <v>39</v>
      </c>
      <c r="G184" s="1" t="s">
        <v>139</v>
      </c>
      <c r="H184" s="1" t="s">
        <v>41</v>
      </c>
      <c r="I184" s="1" t="s">
        <v>53</v>
      </c>
      <c r="J184" s="1">
        <v>2.9</v>
      </c>
      <c r="K184" s="1" t="s">
        <v>250</v>
      </c>
      <c r="L184" s="1" t="s">
        <v>44</v>
      </c>
      <c r="M184" s="1" t="s">
        <v>56</v>
      </c>
      <c r="N184" s="1" t="s">
        <v>84</v>
      </c>
      <c r="O184" s="2">
        <v>45665</v>
      </c>
      <c r="P184" s="2">
        <v>45666</v>
      </c>
      <c r="Q184" s="1" t="b">
        <v>0</v>
      </c>
      <c r="S184" s="1" t="b">
        <v>0</v>
      </c>
      <c r="U184" s="1" t="b">
        <v>0</v>
      </c>
      <c r="W184" s="1" t="b">
        <v>0</v>
      </c>
      <c r="Y184" s="1">
        <v>72</v>
      </c>
      <c r="Z184" s="1">
        <v>81</v>
      </c>
      <c r="AA184" s="1">
        <v>80</v>
      </c>
      <c r="AB184" s="1" t="b">
        <v>0</v>
      </c>
      <c r="AD184" s="1" t="b">
        <v>0</v>
      </c>
      <c r="AF184" s="1" t="s">
        <v>77</v>
      </c>
      <c r="AG184" s="1" t="s">
        <v>69</v>
      </c>
      <c r="AH184" s="1">
        <v>1</v>
      </c>
      <c r="AI184" s="1" t="s">
        <v>93</v>
      </c>
    </row>
    <row r="185" spans="1:35" ht="12.5" hidden="1" x14ac:dyDescent="0.25">
      <c r="A185" s="1">
        <v>181</v>
      </c>
      <c r="B185" s="1" t="s">
        <v>655</v>
      </c>
      <c r="C185" s="1" t="s">
        <v>656</v>
      </c>
      <c r="D185" s="1" t="s">
        <v>367</v>
      </c>
      <c r="E185" s="1" t="s">
        <v>62</v>
      </c>
      <c r="F185" s="1" t="s">
        <v>74</v>
      </c>
      <c r="G185" s="1" t="s">
        <v>139</v>
      </c>
      <c r="H185" s="1" t="s">
        <v>41</v>
      </c>
      <c r="I185" s="1" t="s">
        <v>53</v>
      </c>
      <c r="J185" s="1">
        <v>4.4000000000000004</v>
      </c>
      <c r="K185" s="1" t="s">
        <v>657</v>
      </c>
      <c r="L185" s="1" t="s">
        <v>55</v>
      </c>
      <c r="M185" s="1" t="s">
        <v>129</v>
      </c>
      <c r="N185" s="1" t="s">
        <v>84</v>
      </c>
      <c r="O185" s="2">
        <v>45785</v>
      </c>
      <c r="P185" s="2">
        <v>45792</v>
      </c>
      <c r="Q185" s="1" t="b">
        <v>1</v>
      </c>
      <c r="R185" s="1">
        <v>2</v>
      </c>
      <c r="S185" s="1" t="b">
        <v>1</v>
      </c>
      <c r="T185" s="2">
        <v>45797</v>
      </c>
      <c r="U185" s="1" t="b">
        <v>0</v>
      </c>
      <c r="W185" s="1" t="b">
        <v>0</v>
      </c>
      <c r="Y185" s="1">
        <v>83</v>
      </c>
      <c r="Z185" s="1">
        <v>73</v>
      </c>
      <c r="AA185" s="1">
        <v>66</v>
      </c>
      <c r="AB185" s="1" t="b">
        <v>0</v>
      </c>
      <c r="AD185" s="1" t="b">
        <v>0</v>
      </c>
      <c r="AF185" s="1" t="s">
        <v>151</v>
      </c>
      <c r="AH185" s="1">
        <v>12</v>
      </c>
      <c r="AI185" s="1" t="s">
        <v>48</v>
      </c>
    </row>
    <row r="186" spans="1:35" ht="12.5" hidden="1" x14ac:dyDescent="0.25">
      <c r="A186" s="1">
        <v>182</v>
      </c>
      <c r="B186" s="1" t="s">
        <v>658</v>
      </c>
      <c r="C186" s="1" t="s">
        <v>659</v>
      </c>
      <c r="D186" s="1" t="s">
        <v>521</v>
      </c>
      <c r="E186" s="1" t="s">
        <v>102</v>
      </c>
      <c r="F186" s="1" t="s">
        <v>39</v>
      </c>
      <c r="G186" s="1" t="s">
        <v>75</v>
      </c>
      <c r="H186" s="1" t="s">
        <v>88</v>
      </c>
      <c r="I186" s="1" t="s">
        <v>53</v>
      </c>
      <c r="J186" s="1">
        <v>5.2</v>
      </c>
      <c r="K186" s="1" t="s">
        <v>55</v>
      </c>
      <c r="L186" s="1" t="s">
        <v>44</v>
      </c>
      <c r="M186" s="1" t="s">
        <v>91</v>
      </c>
      <c r="N186" s="1" t="s">
        <v>46</v>
      </c>
      <c r="O186" s="2">
        <v>45731</v>
      </c>
      <c r="P186" s="2">
        <v>45736</v>
      </c>
      <c r="Q186" s="1" t="b">
        <v>1</v>
      </c>
      <c r="R186" s="1">
        <v>9</v>
      </c>
      <c r="S186" s="1" t="b">
        <v>1</v>
      </c>
      <c r="T186" s="2">
        <v>45739</v>
      </c>
      <c r="U186" s="1" t="b">
        <v>1</v>
      </c>
      <c r="V186" s="2">
        <v>45750</v>
      </c>
      <c r="W186" s="1" t="b">
        <v>0</v>
      </c>
      <c r="Y186" s="1">
        <v>91</v>
      </c>
      <c r="Z186" s="1">
        <v>83</v>
      </c>
      <c r="AA186" s="1">
        <v>82</v>
      </c>
      <c r="AB186" s="1" t="b">
        <v>0</v>
      </c>
      <c r="AD186" s="1" t="b">
        <v>0</v>
      </c>
      <c r="AF186" s="1" t="s">
        <v>105</v>
      </c>
      <c r="AG186" s="1" t="s">
        <v>361</v>
      </c>
      <c r="AH186" s="1">
        <v>19</v>
      </c>
      <c r="AI186" s="1" t="s">
        <v>78</v>
      </c>
    </row>
    <row r="187" spans="1:35" ht="12.5" hidden="1" x14ac:dyDescent="0.25">
      <c r="A187" s="1">
        <v>183</v>
      </c>
      <c r="B187" s="1" t="s">
        <v>660</v>
      </c>
      <c r="C187" s="1" t="s">
        <v>661</v>
      </c>
      <c r="D187" s="1" t="s">
        <v>564</v>
      </c>
      <c r="E187" s="1" t="s">
        <v>102</v>
      </c>
      <c r="F187" s="1" t="s">
        <v>63</v>
      </c>
      <c r="G187" s="1" t="s">
        <v>75</v>
      </c>
      <c r="H187" s="1" t="s">
        <v>65</v>
      </c>
      <c r="I187" s="1" t="s">
        <v>53</v>
      </c>
      <c r="J187" s="1">
        <v>3.6</v>
      </c>
      <c r="K187" s="1" t="s">
        <v>399</v>
      </c>
      <c r="L187" s="1" t="s">
        <v>90</v>
      </c>
      <c r="M187" s="1" t="s">
        <v>115</v>
      </c>
      <c r="N187" s="1" t="s">
        <v>46</v>
      </c>
      <c r="O187" s="2">
        <v>45741</v>
      </c>
      <c r="P187" s="2">
        <v>45741</v>
      </c>
      <c r="Q187" s="1" t="b">
        <v>1</v>
      </c>
      <c r="R187" s="1">
        <v>10</v>
      </c>
      <c r="S187" s="1" t="b">
        <v>1</v>
      </c>
      <c r="T187" s="2">
        <v>45750</v>
      </c>
      <c r="U187" s="1" t="b">
        <v>1</v>
      </c>
      <c r="V187" s="2">
        <v>45756</v>
      </c>
      <c r="W187" s="1" t="b">
        <v>1</v>
      </c>
      <c r="X187" s="2">
        <v>45762</v>
      </c>
      <c r="Y187" s="1">
        <v>73</v>
      </c>
      <c r="Z187" s="1">
        <v>60</v>
      </c>
      <c r="AA187" s="1">
        <v>59</v>
      </c>
      <c r="AB187" s="1" t="b">
        <v>0</v>
      </c>
      <c r="AD187" s="1" t="b">
        <v>0</v>
      </c>
      <c r="AF187" s="1" t="s">
        <v>47</v>
      </c>
      <c r="AH187" s="1">
        <v>21</v>
      </c>
      <c r="AI187" s="1" t="s">
        <v>157</v>
      </c>
    </row>
    <row r="188" spans="1:35" ht="12.5" hidden="1" x14ac:dyDescent="0.25">
      <c r="A188" s="1">
        <v>184</v>
      </c>
      <c r="B188" s="1" t="s">
        <v>662</v>
      </c>
      <c r="C188" s="1" t="s">
        <v>663</v>
      </c>
      <c r="D188" s="1" t="s">
        <v>664</v>
      </c>
      <c r="E188" s="1" t="s">
        <v>62</v>
      </c>
      <c r="F188" s="1" t="s">
        <v>74</v>
      </c>
      <c r="G188" s="1" t="s">
        <v>64</v>
      </c>
      <c r="H188" s="1" t="s">
        <v>88</v>
      </c>
      <c r="I188" s="1" t="s">
        <v>42</v>
      </c>
      <c r="J188" s="1">
        <v>10.5</v>
      </c>
      <c r="K188" s="1" t="s">
        <v>665</v>
      </c>
      <c r="L188" s="1" t="s">
        <v>67</v>
      </c>
      <c r="M188" s="1" t="s">
        <v>115</v>
      </c>
      <c r="N188" s="1" t="s">
        <v>92</v>
      </c>
      <c r="O188" s="2">
        <v>45784</v>
      </c>
      <c r="P188" s="2">
        <v>45784</v>
      </c>
      <c r="Q188" s="1" t="b">
        <v>1</v>
      </c>
      <c r="R188" s="1">
        <v>5</v>
      </c>
      <c r="S188" s="1" t="b">
        <v>0</v>
      </c>
      <c r="U188" s="1" t="b">
        <v>0</v>
      </c>
      <c r="W188" s="1" t="b">
        <v>0</v>
      </c>
      <c r="Y188" s="1">
        <v>84</v>
      </c>
      <c r="Z188" s="1">
        <v>78</v>
      </c>
      <c r="AA188" s="1">
        <v>80</v>
      </c>
      <c r="AB188" s="1" t="b">
        <v>0</v>
      </c>
      <c r="AD188" s="1" t="b">
        <v>0</v>
      </c>
      <c r="AF188" s="1" t="s">
        <v>57</v>
      </c>
      <c r="AH188" s="1">
        <v>0</v>
      </c>
      <c r="AI188" s="1" t="s">
        <v>135</v>
      </c>
    </row>
    <row r="189" spans="1:35" ht="12.5" x14ac:dyDescent="0.25">
      <c r="A189" s="1">
        <v>185</v>
      </c>
      <c r="B189" s="1" t="s">
        <v>666</v>
      </c>
      <c r="C189" s="1" t="s">
        <v>667</v>
      </c>
      <c r="D189" s="1" t="s">
        <v>344</v>
      </c>
      <c r="E189" s="1" t="s">
        <v>52</v>
      </c>
      <c r="F189" s="1" t="s">
        <v>39</v>
      </c>
      <c r="G189" s="1" t="s">
        <v>75</v>
      </c>
      <c r="H189" s="1" t="s">
        <v>41</v>
      </c>
      <c r="I189" s="1" t="s">
        <v>42</v>
      </c>
      <c r="J189" s="1">
        <v>7.7</v>
      </c>
      <c r="K189" s="1" t="s">
        <v>150</v>
      </c>
      <c r="L189" s="1" t="s">
        <v>44</v>
      </c>
      <c r="M189" s="1" t="s">
        <v>45</v>
      </c>
      <c r="N189" s="1" t="s">
        <v>84</v>
      </c>
      <c r="O189" s="2">
        <v>45792</v>
      </c>
      <c r="P189" s="2">
        <v>45792</v>
      </c>
      <c r="Q189" s="1" t="b">
        <v>0</v>
      </c>
      <c r="S189" s="1" t="b">
        <v>0</v>
      </c>
      <c r="U189" s="1" t="b">
        <v>0</v>
      </c>
      <c r="W189" s="1" t="b">
        <v>0</v>
      </c>
      <c r="Y189" s="1">
        <v>77</v>
      </c>
      <c r="Z189" s="1">
        <v>79</v>
      </c>
      <c r="AA189" s="1">
        <v>84</v>
      </c>
      <c r="AB189" s="1" t="b">
        <v>0</v>
      </c>
      <c r="AD189" s="1" t="b">
        <v>0</v>
      </c>
      <c r="AF189" s="1" t="s">
        <v>77</v>
      </c>
      <c r="AG189" s="1" t="s">
        <v>69</v>
      </c>
      <c r="AH189" s="1">
        <v>0</v>
      </c>
      <c r="AI189" s="1" t="s">
        <v>70</v>
      </c>
    </row>
    <row r="190" spans="1:35" ht="12.5" hidden="1" x14ac:dyDescent="0.25">
      <c r="A190" s="1">
        <v>186</v>
      </c>
      <c r="B190" s="1" t="s">
        <v>668</v>
      </c>
      <c r="C190" s="1" t="s">
        <v>669</v>
      </c>
      <c r="D190" s="1" t="s">
        <v>256</v>
      </c>
      <c r="E190" s="1" t="s">
        <v>102</v>
      </c>
      <c r="F190" s="1" t="s">
        <v>74</v>
      </c>
      <c r="G190" s="1" t="s">
        <v>97</v>
      </c>
      <c r="H190" s="1" t="s">
        <v>41</v>
      </c>
      <c r="I190" s="1" t="s">
        <v>42</v>
      </c>
      <c r="J190" s="1">
        <v>7.6</v>
      </c>
      <c r="K190" s="1" t="s">
        <v>113</v>
      </c>
      <c r="L190" s="1" t="s">
        <v>141</v>
      </c>
      <c r="M190" s="1" t="s">
        <v>129</v>
      </c>
      <c r="N190" s="1" t="s">
        <v>92</v>
      </c>
      <c r="O190" s="2">
        <v>45658</v>
      </c>
      <c r="P190" s="2">
        <v>45658</v>
      </c>
      <c r="Q190" s="1" t="b">
        <v>1</v>
      </c>
      <c r="R190" s="1">
        <v>2</v>
      </c>
      <c r="S190" s="1" t="b">
        <v>0</v>
      </c>
      <c r="U190" s="1" t="b">
        <v>0</v>
      </c>
      <c r="W190" s="1" t="b">
        <v>0</v>
      </c>
      <c r="Y190" s="1">
        <v>71</v>
      </c>
      <c r="Z190" s="1">
        <v>80</v>
      </c>
      <c r="AA190" s="1">
        <v>71</v>
      </c>
      <c r="AB190" s="1" t="b">
        <v>0</v>
      </c>
      <c r="AD190" s="1" t="b">
        <v>0</v>
      </c>
      <c r="AF190" s="1" t="s">
        <v>57</v>
      </c>
      <c r="AH190" s="1">
        <v>0</v>
      </c>
      <c r="AI190" s="1" t="s">
        <v>70</v>
      </c>
    </row>
    <row r="191" spans="1:35" ht="12.5" x14ac:dyDescent="0.25">
      <c r="A191" s="1">
        <v>187</v>
      </c>
      <c r="B191" s="1" t="s">
        <v>670</v>
      </c>
      <c r="C191" s="1" t="s">
        <v>671</v>
      </c>
      <c r="D191" s="1" t="s">
        <v>672</v>
      </c>
      <c r="E191" s="1" t="s">
        <v>62</v>
      </c>
      <c r="F191" s="1" t="s">
        <v>111</v>
      </c>
      <c r="G191" s="1" t="s">
        <v>97</v>
      </c>
      <c r="H191" s="1" t="s">
        <v>65</v>
      </c>
      <c r="I191" s="1" t="s">
        <v>82</v>
      </c>
      <c r="J191" s="1">
        <v>2.2999999999999998</v>
      </c>
      <c r="K191" s="1" t="s">
        <v>673</v>
      </c>
      <c r="L191" s="1" t="s">
        <v>90</v>
      </c>
      <c r="M191" s="1" t="s">
        <v>91</v>
      </c>
      <c r="N191" s="1" t="s">
        <v>46</v>
      </c>
      <c r="O191" s="2">
        <v>45775</v>
      </c>
      <c r="P191" s="2">
        <v>45778</v>
      </c>
      <c r="Q191" s="1" t="b">
        <v>0</v>
      </c>
      <c r="S191" s="1" t="b">
        <v>0</v>
      </c>
      <c r="U191" s="1" t="b">
        <v>0</v>
      </c>
      <c r="W191" s="1" t="b">
        <v>0</v>
      </c>
      <c r="Y191" s="1">
        <v>66</v>
      </c>
      <c r="Z191" s="1">
        <v>80</v>
      </c>
      <c r="AA191" s="1">
        <v>76</v>
      </c>
      <c r="AB191" s="1" t="b">
        <v>0</v>
      </c>
      <c r="AD191" s="1" t="b">
        <v>0</v>
      </c>
      <c r="AF191" s="1" t="s">
        <v>77</v>
      </c>
      <c r="AG191" s="1" t="s">
        <v>69</v>
      </c>
      <c r="AH191" s="1">
        <v>3</v>
      </c>
      <c r="AI191" s="1" t="s">
        <v>157</v>
      </c>
    </row>
    <row r="192" spans="1:35" ht="12.5" hidden="1" x14ac:dyDescent="0.25">
      <c r="A192" s="1">
        <v>188</v>
      </c>
      <c r="B192" s="1" t="s">
        <v>674</v>
      </c>
      <c r="C192" s="1" t="s">
        <v>675</v>
      </c>
      <c r="D192" s="1" t="s">
        <v>583</v>
      </c>
      <c r="E192" s="1" t="s">
        <v>38</v>
      </c>
      <c r="F192" s="1" t="s">
        <v>63</v>
      </c>
      <c r="G192" s="1" t="s">
        <v>40</v>
      </c>
      <c r="H192" s="1" t="s">
        <v>41</v>
      </c>
      <c r="I192" s="1" t="s">
        <v>82</v>
      </c>
      <c r="J192" s="1">
        <v>2.2999999999999998</v>
      </c>
      <c r="K192" s="1" t="s">
        <v>182</v>
      </c>
      <c r="L192" s="1" t="s">
        <v>141</v>
      </c>
      <c r="M192" s="1" t="s">
        <v>115</v>
      </c>
      <c r="N192" s="1" t="s">
        <v>46</v>
      </c>
      <c r="O192" s="2">
        <v>45778</v>
      </c>
      <c r="P192" s="2">
        <v>45778</v>
      </c>
      <c r="Q192" s="1" t="b">
        <v>1</v>
      </c>
      <c r="R192" s="1">
        <v>12</v>
      </c>
      <c r="S192" s="1" t="b">
        <v>1</v>
      </c>
      <c r="T192" s="2">
        <v>45783</v>
      </c>
      <c r="U192" s="1" t="b">
        <v>1</v>
      </c>
      <c r="V192" s="2">
        <v>45788</v>
      </c>
      <c r="W192" s="1" t="b">
        <v>1</v>
      </c>
      <c r="X192" s="2">
        <v>45798</v>
      </c>
      <c r="Y192" s="1">
        <v>69</v>
      </c>
      <c r="Z192" s="1">
        <v>73</v>
      </c>
      <c r="AA192" s="1">
        <v>75</v>
      </c>
      <c r="AB192" s="1" t="b">
        <v>0</v>
      </c>
      <c r="AD192" s="1" t="b">
        <v>0</v>
      </c>
      <c r="AF192" s="1" t="s">
        <v>47</v>
      </c>
      <c r="AH192" s="1">
        <v>20</v>
      </c>
      <c r="AI192" s="1" t="s">
        <v>157</v>
      </c>
    </row>
    <row r="193" spans="1:35" ht="12.5" hidden="1" x14ac:dyDescent="0.25">
      <c r="A193" s="1">
        <v>189</v>
      </c>
      <c r="B193" s="1" t="s">
        <v>676</v>
      </c>
      <c r="C193" s="1" t="s">
        <v>677</v>
      </c>
      <c r="D193" s="1" t="s">
        <v>121</v>
      </c>
      <c r="E193" s="1" t="s">
        <v>62</v>
      </c>
      <c r="F193" s="1" t="s">
        <v>74</v>
      </c>
      <c r="G193" s="1" t="s">
        <v>97</v>
      </c>
      <c r="H193" s="1" t="s">
        <v>88</v>
      </c>
      <c r="I193" s="1" t="s">
        <v>53</v>
      </c>
      <c r="J193" s="1">
        <v>4.8</v>
      </c>
      <c r="K193" s="1" t="s">
        <v>678</v>
      </c>
      <c r="L193" s="1" t="s">
        <v>44</v>
      </c>
      <c r="M193" s="1" t="s">
        <v>146</v>
      </c>
      <c r="N193" s="1" t="s">
        <v>116</v>
      </c>
      <c r="O193" s="2">
        <v>45687</v>
      </c>
      <c r="P193" s="2">
        <v>45689</v>
      </c>
      <c r="Q193" s="1" t="b">
        <v>1</v>
      </c>
      <c r="R193" s="1">
        <v>6</v>
      </c>
      <c r="S193" s="1" t="b">
        <v>1</v>
      </c>
      <c r="T193" s="2">
        <v>45690</v>
      </c>
      <c r="U193" s="1" t="b">
        <v>1</v>
      </c>
      <c r="V193" s="2">
        <v>45704</v>
      </c>
      <c r="W193" s="1" t="b">
        <v>1</v>
      </c>
      <c r="X193" s="2">
        <v>45714</v>
      </c>
      <c r="Y193" s="1">
        <v>76</v>
      </c>
      <c r="Z193" s="1">
        <v>80</v>
      </c>
      <c r="AA193" s="1">
        <v>90</v>
      </c>
      <c r="AB193" s="1" t="b">
        <v>1</v>
      </c>
      <c r="AC193" s="2">
        <v>45719</v>
      </c>
      <c r="AD193" s="1" t="b">
        <v>1</v>
      </c>
      <c r="AE193" s="2">
        <v>45721</v>
      </c>
      <c r="AF193" s="1" t="s">
        <v>134</v>
      </c>
      <c r="AH193" s="1">
        <v>34</v>
      </c>
      <c r="AI193" s="1" t="s">
        <v>58</v>
      </c>
    </row>
    <row r="194" spans="1:35" ht="12.5" hidden="1" x14ac:dyDescent="0.25">
      <c r="A194" s="1">
        <v>190</v>
      </c>
      <c r="B194" s="1" t="s">
        <v>679</v>
      </c>
      <c r="C194" s="1" t="s">
        <v>680</v>
      </c>
      <c r="D194" s="1" t="s">
        <v>681</v>
      </c>
      <c r="E194" s="1" t="s">
        <v>38</v>
      </c>
      <c r="F194" s="1" t="s">
        <v>74</v>
      </c>
      <c r="G194" s="1" t="s">
        <v>40</v>
      </c>
      <c r="H194" s="1" t="s">
        <v>41</v>
      </c>
      <c r="I194" s="1" t="s">
        <v>42</v>
      </c>
      <c r="J194" s="1">
        <v>4.0999999999999996</v>
      </c>
      <c r="K194" s="1" t="s">
        <v>682</v>
      </c>
      <c r="L194" s="1" t="s">
        <v>55</v>
      </c>
      <c r="M194" s="1" t="s">
        <v>56</v>
      </c>
      <c r="N194" s="1" t="s">
        <v>46</v>
      </c>
      <c r="O194" s="2">
        <v>45699</v>
      </c>
      <c r="P194" s="2">
        <v>45705</v>
      </c>
      <c r="Q194" s="1" t="b">
        <v>1</v>
      </c>
      <c r="R194" s="1">
        <v>3</v>
      </c>
      <c r="S194" s="1" t="b">
        <v>1</v>
      </c>
      <c r="T194" s="2">
        <v>45714</v>
      </c>
      <c r="U194" s="1" t="b">
        <v>1</v>
      </c>
      <c r="V194" s="2">
        <v>45722</v>
      </c>
      <c r="W194" s="1" t="b">
        <v>0</v>
      </c>
      <c r="Y194" s="1">
        <v>45</v>
      </c>
      <c r="Z194" s="1">
        <v>89</v>
      </c>
      <c r="AA194" s="1">
        <v>86</v>
      </c>
      <c r="AB194" s="1" t="b">
        <v>0</v>
      </c>
      <c r="AD194" s="1" t="b">
        <v>0</v>
      </c>
      <c r="AF194" s="1" t="s">
        <v>105</v>
      </c>
      <c r="AG194" s="1" t="s">
        <v>124</v>
      </c>
      <c r="AH194" s="1">
        <v>23</v>
      </c>
      <c r="AI194" s="1" t="s">
        <v>93</v>
      </c>
    </row>
    <row r="195" spans="1:35" ht="12.5" hidden="1" x14ac:dyDescent="0.25">
      <c r="A195" s="1">
        <v>191</v>
      </c>
      <c r="B195" s="1" t="s">
        <v>683</v>
      </c>
      <c r="C195" s="1" t="s">
        <v>684</v>
      </c>
      <c r="D195" s="1" t="s">
        <v>393</v>
      </c>
      <c r="E195" s="1" t="s">
        <v>102</v>
      </c>
      <c r="F195" s="1" t="s">
        <v>39</v>
      </c>
      <c r="G195" s="1" t="s">
        <v>40</v>
      </c>
      <c r="H195" s="1" t="s">
        <v>88</v>
      </c>
      <c r="I195" s="1" t="s">
        <v>103</v>
      </c>
      <c r="J195" s="1">
        <v>10.3</v>
      </c>
      <c r="K195" s="1" t="s">
        <v>242</v>
      </c>
      <c r="L195" s="1" t="s">
        <v>114</v>
      </c>
      <c r="M195" s="1" t="s">
        <v>91</v>
      </c>
      <c r="N195" s="1" t="s">
        <v>116</v>
      </c>
      <c r="O195" s="2">
        <v>45790</v>
      </c>
      <c r="P195" s="2">
        <v>45795</v>
      </c>
      <c r="Q195" s="1" t="b">
        <v>1</v>
      </c>
      <c r="R195" s="1">
        <v>3</v>
      </c>
      <c r="S195" s="1" t="b">
        <v>1</v>
      </c>
      <c r="T195" s="2">
        <v>45797</v>
      </c>
      <c r="U195" s="1" t="b">
        <v>1</v>
      </c>
      <c r="V195" s="2">
        <v>45802</v>
      </c>
      <c r="W195" s="1" t="b">
        <v>0</v>
      </c>
      <c r="Y195" s="1">
        <v>84</v>
      </c>
      <c r="Z195" s="1">
        <v>90</v>
      </c>
      <c r="AA195" s="1">
        <v>80</v>
      </c>
      <c r="AB195" s="1" t="b">
        <v>0</v>
      </c>
      <c r="AD195" s="1" t="b">
        <v>0</v>
      </c>
      <c r="AF195" s="1" t="s">
        <v>105</v>
      </c>
      <c r="AG195" s="1" t="s">
        <v>234</v>
      </c>
      <c r="AH195" s="1">
        <v>12</v>
      </c>
      <c r="AI195" s="1" t="s">
        <v>58</v>
      </c>
    </row>
    <row r="196" spans="1:35" ht="12.5" hidden="1" x14ac:dyDescent="0.25">
      <c r="A196" s="1">
        <v>192</v>
      </c>
      <c r="B196" s="1" t="s">
        <v>685</v>
      </c>
      <c r="C196" s="1" t="s">
        <v>686</v>
      </c>
      <c r="D196" s="1" t="s">
        <v>564</v>
      </c>
      <c r="E196" s="1" t="s">
        <v>38</v>
      </c>
      <c r="F196" s="1" t="s">
        <v>63</v>
      </c>
      <c r="G196" s="1" t="s">
        <v>40</v>
      </c>
      <c r="H196" s="1" t="s">
        <v>65</v>
      </c>
      <c r="I196" s="1" t="s">
        <v>103</v>
      </c>
      <c r="J196" s="1">
        <v>9.1</v>
      </c>
      <c r="K196" s="1" t="s">
        <v>233</v>
      </c>
      <c r="L196" s="1" t="s">
        <v>44</v>
      </c>
      <c r="M196" s="1" t="s">
        <v>68</v>
      </c>
      <c r="N196" s="1" t="s">
        <v>46</v>
      </c>
      <c r="O196" s="2">
        <v>45766</v>
      </c>
      <c r="P196" s="2">
        <v>45770</v>
      </c>
      <c r="Q196" s="1" t="b">
        <v>1</v>
      </c>
      <c r="R196" s="1">
        <v>11</v>
      </c>
      <c r="S196" s="1" t="b">
        <v>1</v>
      </c>
      <c r="T196" s="2">
        <v>45777</v>
      </c>
      <c r="U196" s="1" t="b">
        <v>1</v>
      </c>
      <c r="V196" s="2">
        <v>45783</v>
      </c>
      <c r="W196" s="1" t="b">
        <v>1</v>
      </c>
      <c r="X196" s="2">
        <v>45792</v>
      </c>
      <c r="Y196" s="1">
        <v>72</v>
      </c>
      <c r="Z196" s="1">
        <v>86</v>
      </c>
      <c r="AA196" s="1">
        <v>81</v>
      </c>
      <c r="AB196" s="1" t="b">
        <v>1</v>
      </c>
      <c r="AC196" s="2">
        <v>45797</v>
      </c>
      <c r="AD196" s="1" t="b">
        <v>1</v>
      </c>
      <c r="AE196" s="2">
        <v>45809</v>
      </c>
      <c r="AF196" s="1" t="s">
        <v>134</v>
      </c>
      <c r="AH196" s="1">
        <v>43</v>
      </c>
      <c r="AI196" s="1" t="s">
        <v>118</v>
      </c>
    </row>
    <row r="197" spans="1:35" ht="12.5" x14ac:dyDescent="0.25">
      <c r="A197" s="1">
        <v>193</v>
      </c>
      <c r="B197" s="1" t="s">
        <v>687</v>
      </c>
      <c r="C197" s="1" t="s">
        <v>688</v>
      </c>
      <c r="D197" s="1" t="s">
        <v>199</v>
      </c>
      <c r="E197" s="1" t="s">
        <v>52</v>
      </c>
      <c r="F197" s="1" t="s">
        <v>39</v>
      </c>
      <c r="G197" s="1" t="s">
        <v>40</v>
      </c>
      <c r="H197" s="1" t="s">
        <v>41</v>
      </c>
      <c r="I197" s="1" t="s">
        <v>53</v>
      </c>
      <c r="J197" s="1">
        <v>5.4</v>
      </c>
      <c r="K197" s="1" t="s">
        <v>345</v>
      </c>
      <c r="L197" s="1" t="s">
        <v>44</v>
      </c>
      <c r="M197" s="1" t="s">
        <v>123</v>
      </c>
      <c r="N197" s="1" t="s">
        <v>46</v>
      </c>
      <c r="O197" s="2">
        <v>45779</v>
      </c>
      <c r="P197" s="2">
        <v>45783</v>
      </c>
      <c r="Q197" s="1" t="b">
        <v>0</v>
      </c>
      <c r="S197" s="1" t="b">
        <v>0</v>
      </c>
      <c r="U197" s="1" t="b">
        <v>0</v>
      </c>
      <c r="W197" s="1" t="b">
        <v>0</v>
      </c>
      <c r="Y197" s="1">
        <v>72</v>
      </c>
      <c r="Z197" s="1">
        <v>61</v>
      </c>
      <c r="AA197" s="1">
        <v>82</v>
      </c>
      <c r="AB197" s="1" t="b">
        <v>0</v>
      </c>
      <c r="AD197" s="1" t="b">
        <v>0</v>
      </c>
      <c r="AF197" s="1" t="s">
        <v>77</v>
      </c>
      <c r="AG197" s="1" t="s">
        <v>69</v>
      </c>
      <c r="AH197" s="1">
        <v>4</v>
      </c>
      <c r="AI197" s="1" t="s">
        <v>48</v>
      </c>
    </row>
    <row r="198" spans="1:35" ht="12.5" hidden="1" x14ac:dyDescent="0.25">
      <c r="A198" s="1">
        <v>194</v>
      </c>
      <c r="B198" s="1" t="s">
        <v>689</v>
      </c>
      <c r="C198" s="1" t="s">
        <v>690</v>
      </c>
      <c r="D198" s="1" t="s">
        <v>256</v>
      </c>
      <c r="E198" s="1" t="s">
        <v>52</v>
      </c>
      <c r="F198" s="1" t="s">
        <v>111</v>
      </c>
      <c r="G198" s="1" t="s">
        <v>139</v>
      </c>
      <c r="H198" s="1" t="s">
        <v>41</v>
      </c>
      <c r="I198" s="1" t="s">
        <v>82</v>
      </c>
      <c r="J198" s="1">
        <v>1.8</v>
      </c>
      <c r="K198" s="1" t="s">
        <v>222</v>
      </c>
      <c r="L198" s="1" t="s">
        <v>90</v>
      </c>
      <c r="M198" s="1" t="s">
        <v>56</v>
      </c>
      <c r="N198" s="1" t="s">
        <v>46</v>
      </c>
      <c r="O198" s="2">
        <v>45726</v>
      </c>
      <c r="P198" s="2">
        <v>45729</v>
      </c>
      <c r="Q198" s="1" t="b">
        <v>1</v>
      </c>
      <c r="R198" s="1">
        <v>6</v>
      </c>
      <c r="S198" s="1" t="b">
        <v>1</v>
      </c>
      <c r="T198" s="2">
        <v>45735</v>
      </c>
      <c r="U198" s="1" t="b">
        <v>1</v>
      </c>
      <c r="V198" s="2">
        <v>45743</v>
      </c>
      <c r="W198" s="1" t="b">
        <v>1</v>
      </c>
      <c r="X198" s="2">
        <v>45748</v>
      </c>
      <c r="Y198" s="1">
        <v>53</v>
      </c>
      <c r="Z198" s="1">
        <v>74</v>
      </c>
      <c r="AA198" s="1">
        <v>57</v>
      </c>
      <c r="AB198" s="1" t="b">
        <v>0</v>
      </c>
      <c r="AD198" s="1" t="b">
        <v>0</v>
      </c>
      <c r="AF198" s="1" t="s">
        <v>47</v>
      </c>
      <c r="AH198" s="1">
        <v>22</v>
      </c>
      <c r="AI198" s="1" t="s">
        <v>215</v>
      </c>
    </row>
    <row r="199" spans="1:35" ht="12.5" x14ac:dyDescent="0.25">
      <c r="A199" s="1">
        <v>195</v>
      </c>
      <c r="B199" s="1" t="s">
        <v>691</v>
      </c>
      <c r="C199" s="1" t="s">
        <v>692</v>
      </c>
      <c r="D199" s="1" t="s">
        <v>127</v>
      </c>
      <c r="E199" s="1" t="s">
        <v>62</v>
      </c>
      <c r="F199" s="1" t="s">
        <v>63</v>
      </c>
      <c r="G199" s="1" t="s">
        <v>64</v>
      </c>
      <c r="H199" s="1" t="s">
        <v>88</v>
      </c>
      <c r="I199" s="1" t="s">
        <v>82</v>
      </c>
      <c r="J199" s="1">
        <v>0.3</v>
      </c>
      <c r="K199" s="1" t="s">
        <v>693</v>
      </c>
      <c r="L199" s="1" t="s">
        <v>67</v>
      </c>
      <c r="M199" s="1" t="s">
        <v>129</v>
      </c>
      <c r="N199" s="1" t="s">
        <v>116</v>
      </c>
      <c r="O199" s="2">
        <v>45719</v>
      </c>
      <c r="P199" s="2">
        <v>45724</v>
      </c>
      <c r="Q199" s="1" t="b">
        <v>0</v>
      </c>
      <c r="S199" s="1" t="b">
        <v>0</v>
      </c>
      <c r="U199" s="1" t="b">
        <v>0</v>
      </c>
      <c r="W199" s="1" t="b">
        <v>0</v>
      </c>
      <c r="Y199" s="1">
        <v>65</v>
      </c>
      <c r="Z199" s="1">
        <v>69</v>
      </c>
      <c r="AA199" s="1">
        <v>64</v>
      </c>
      <c r="AB199" s="1" t="b">
        <v>0</v>
      </c>
      <c r="AD199" s="1" t="b">
        <v>0</v>
      </c>
      <c r="AF199" s="1" t="s">
        <v>77</v>
      </c>
      <c r="AG199" s="1" t="s">
        <v>69</v>
      </c>
      <c r="AH199" s="1">
        <v>5</v>
      </c>
      <c r="AI199" s="1" t="s">
        <v>58</v>
      </c>
    </row>
    <row r="200" spans="1:35" ht="12.5" hidden="1" x14ac:dyDescent="0.25">
      <c r="A200" s="1">
        <v>196</v>
      </c>
      <c r="B200" s="1" t="s">
        <v>694</v>
      </c>
      <c r="C200" s="1" t="s">
        <v>695</v>
      </c>
      <c r="D200" s="1" t="s">
        <v>508</v>
      </c>
      <c r="E200" s="1" t="s">
        <v>62</v>
      </c>
      <c r="F200" s="1" t="s">
        <v>74</v>
      </c>
      <c r="G200" s="1" t="s">
        <v>112</v>
      </c>
      <c r="H200" s="1" t="s">
        <v>65</v>
      </c>
      <c r="I200" s="1" t="s">
        <v>53</v>
      </c>
      <c r="J200" s="1">
        <v>5</v>
      </c>
      <c r="K200" s="1" t="s">
        <v>206</v>
      </c>
      <c r="L200" s="1" t="s">
        <v>141</v>
      </c>
      <c r="M200" s="1" t="s">
        <v>91</v>
      </c>
      <c r="N200" s="1" t="s">
        <v>84</v>
      </c>
      <c r="O200" s="2">
        <v>45694</v>
      </c>
      <c r="P200" s="2">
        <v>45696</v>
      </c>
      <c r="Q200" s="1" t="b">
        <v>1</v>
      </c>
      <c r="R200" s="1">
        <v>2</v>
      </c>
      <c r="S200" s="1" t="b">
        <v>1</v>
      </c>
      <c r="T200" s="2">
        <v>45705</v>
      </c>
      <c r="U200" s="1" t="b">
        <v>1</v>
      </c>
      <c r="V200" s="2">
        <v>45709</v>
      </c>
      <c r="W200" s="1" t="b">
        <v>1</v>
      </c>
      <c r="X200" s="2">
        <v>45715</v>
      </c>
      <c r="Y200" s="1">
        <v>67</v>
      </c>
      <c r="Z200" s="1">
        <v>79</v>
      </c>
      <c r="AA200" s="1">
        <v>74</v>
      </c>
      <c r="AB200" s="1" t="b">
        <v>0</v>
      </c>
      <c r="AD200" s="1" t="b">
        <v>0</v>
      </c>
      <c r="AF200" s="1" t="s">
        <v>47</v>
      </c>
      <c r="AH200" s="1">
        <v>21</v>
      </c>
      <c r="AI200" s="1" t="s">
        <v>93</v>
      </c>
    </row>
    <row r="201" spans="1:35" ht="12.5" x14ac:dyDescent="0.25">
      <c r="A201" s="1">
        <v>197</v>
      </c>
      <c r="B201" s="1" t="s">
        <v>696</v>
      </c>
      <c r="C201" s="1" t="s">
        <v>697</v>
      </c>
      <c r="D201" s="1" t="s">
        <v>672</v>
      </c>
      <c r="E201" s="1" t="s">
        <v>102</v>
      </c>
      <c r="F201" s="1" t="s">
        <v>63</v>
      </c>
      <c r="G201" s="1" t="s">
        <v>112</v>
      </c>
      <c r="H201" s="1" t="s">
        <v>41</v>
      </c>
      <c r="I201" s="1" t="s">
        <v>42</v>
      </c>
      <c r="J201" s="1">
        <v>7.3</v>
      </c>
      <c r="K201" s="1" t="s">
        <v>577</v>
      </c>
      <c r="L201" s="1" t="s">
        <v>141</v>
      </c>
      <c r="M201" s="1" t="s">
        <v>45</v>
      </c>
      <c r="N201" s="1" t="s">
        <v>46</v>
      </c>
      <c r="O201" s="2">
        <v>45787</v>
      </c>
      <c r="P201" s="2">
        <v>45792</v>
      </c>
      <c r="Q201" s="1" t="b">
        <v>0</v>
      </c>
      <c r="S201" s="1" t="b">
        <v>0</v>
      </c>
      <c r="U201" s="1" t="b">
        <v>0</v>
      </c>
      <c r="W201" s="1" t="b">
        <v>0</v>
      </c>
      <c r="Y201" s="1">
        <v>81</v>
      </c>
      <c r="Z201" s="1">
        <v>95</v>
      </c>
      <c r="AA201" s="1">
        <v>100</v>
      </c>
      <c r="AB201" s="1" t="b">
        <v>0</v>
      </c>
      <c r="AD201" s="1" t="b">
        <v>0</v>
      </c>
      <c r="AF201" s="1" t="s">
        <v>77</v>
      </c>
      <c r="AG201" s="1" t="s">
        <v>69</v>
      </c>
      <c r="AH201" s="1">
        <v>5</v>
      </c>
      <c r="AI201" s="1" t="s">
        <v>58</v>
      </c>
    </row>
    <row r="202" spans="1:35" ht="12.5" x14ac:dyDescent="0.25">
      <c r="A202" s="1">
        <v>198</v>
      </c>
      <c r="B202" s="1" t="s">
        <v>698</v>
      </c>
      <c r="C202" s="1" t="s">
        <v>699</v>
      </c>
      <c r="D202" s="1" t="s">
        <v>348</v>
      </c>
      <c r="E202" s="1" t="s">
        <v>102</v>
      </c>
      <c r="F202" s="1" t="s">
        <v>74</v>
      </c>
      <c r="G202" s="1" t="s">
        <v>112</v>
      </c>
      <c r="H202" s="1" t="s">
        <v>65</v>
      </c>
      <c r="I202" s="1" t="s">
        <v>42</v>
      </c>
      <c r="J202" s="1">
        <v>6.6</v>
      </c>
      <c r="K202" s="1" t="s">
        <v>682</v>
      </c>
      <c r="L202" s="1" t="s">
        <v>55</v>
      </c>
      <c r="M202" s="1" t="s">
        <v>146</v>
      </c>
      <c r="N202" s="1" t="s">
        <v>116</v>
      </c>
      <c r="O202" s="2">
        <v>45767</v>
      </c>
      <c r="P202" s="2">
        <v>45771</v>
      </c>
      <c r="Q202" s="1" t="b">
        <v>1</v>
      </c>
      <c r="R202" s="1">
        <v>8</v>
      </c>
      <c r="S202" s="1" t="b">
        <v>1</v>
      </c>
      <c r="T202" s="2">
        <v>45778</v>
      </c>
      <c r="U202" s="1" t="b">
        <v>1</v>
      </c>
      <c r="V202" s="2">
        <v>45784</v>
      </c>
      <c r="W202" s="1" t="b">
        <v>1</v>
      </c>
      <c r="X202" s="2">
        <v>45793</v>
      </c>
      <c r="Y202" s="1">
        <v>78</v>
      </c>
      <c r="Z202" s="1">
        <v>62</v>
      </c>
      <c r="AA202" s="1">
        <v>66</v>
      </c>
      <c r="AB202" s="1" t="b">
        <v>0</v>
      </c>
      <c r="AD202" s="1" t="b">
        <v>0</v>
      </c>
      <c r="AF202" s="1" t="s">
        <v>47</v>
      </c>
      <c r="AG202" s="1" t="s">
        <v>69</v>
      </c>
      <c r="AH202" s="1">
        <v>26</v>
      </c>
      <c r="AI202" s="1" t="s">
        <v>215</v>
      </c>
    </row>
    <row r="203" spans="1:35" ht="12.5" hidden="1" x14ac:dyDescent="0.25">
      <c r="A203" s="1">
        <v>199</v>
      </c>
      <c r="B203" s="1" t="s">
        <v>700</v>
      </c>
      <c r="C203" s="1" t="s">
        <v>701</v>
      </c>
      <c r="D203" s="1" t="s">
        <v>311</v>
      </c>
      <c r="E203" s="1" t="s">
        <v>52</v>
      </c>
      <c r="F203" s="1" t="s">
        <v>63</v>
      </c>
      <c r="G203" s="1" t="s">
        <v>40</v>
      </c>
      <c r="H203" s="1" t="s">
        <v>88</v>
      </c>
      <c r="I203" s="1" t="s">
        <v>82</v>
      </c>
      <c r="J203" s="1">
        <v>1.2</v>
      </c>
      <c r="K203" s="1" t="s">
        <v>54</v>
      </c>
      <c r="L203" s="1" t="s">
        <v>44</v>
      </c>
      <c r="M203" s="1" t="s">
        <v>115</v>
      </c>
      <c r="N203" s="1" t="s">
        <v>46</v>
      </c>
      <c r="O203" s="2">
        <v>45685</v>
      </c>
      <c r="P203" s="2">
        <v>45690</v>
      </c>
      <c r="Q203" s="1" t="b">
        <v>1</v>
      </c>
      <c r="R203" s="1">
        <v>9</v>
      </c>
      <c r="S203" s="1" t="b">
        <v>0</v>
      </c>
      <c r="U203" s="1" t="b">
        <v>0</v>
      </c>
      <c r="W203" s="1" t="b">
        <v>0</v>
      </c>
      <c r="Y203" s="1">
        <v>54</v>
      </c>
      <c r="Z203" s="1">
        <v>80</v>
      </c>
      <c r="AA203" s="1">
        <v>65</v>
      </c>
      <c r="AB203" s="1" t="b">
        <v>0</v>
      </c>
      <c r="AD203" s="1" t="b">
        <v>0</v>
      </c>
      <c r="AF203" s="1" t="s">
        <v>57</v>
      </c>
      <c r="AG203" s="1" t="s">
        <v>176</v>
      </c>
      <c r="AH203" s="1">
        <v>5</v>
      </c>
      <c r="AI203" s="1" t="s">
        <v>48</v>
      </c>
    </row>
    <row r="204" spans="1:35" ht="12.5" hidden="1" x14ac:dyDescent="0.25">
      <c r="A204" s="1">
        <v>200</v>
      </c>
      <c r="B204" s="1" t="s">
        <v>702</v>
      </c>
      <c r="C204" s="1" t="s">
        <v>703</v>
      </c>
      <c r="D204" s="1" t="s">
        <v>418</v>
      </c>
      <c r="E204" s="1" t="s">
        <v>38</v>
      </c>
      <c r="F204" s="1" t="s">
        <v>74</v>
      </c>
      <c r="G204" s="1" t="s">
        <v>40</v>
      </c>
      <c r="H204" s="1" t="s">
        <v>88</v>
      </c>
      <c r="I204" s="1" t="s">
        <v>82</v>
      </c>
      <c r="J204" s="1">
        <v>3.4</v>
      </c>
      <c r="K204" s="1" t="s">
        <v>242</v>
      </c>
      <c r="L204" s="1" t="s">
        <v>90</v>
      </c>
      <c r="M204" s="1" t="s">
        <v>129</v>
      </c>
      <c r="N204" s="1" t="s">
        <v>84</v>
      </c>
      <c r="O204" s="2">
        <v>45672</v>
      </c>
      <c r="P204" s="2">
        <v>45678</v>
      </c>
      <c r="Q204" s="1" t="b">
        <v>1</v>
      </c>
      <c r="R204" s="1">
        <v>8</v>
      </c>
      <c r="S204" s="1" t="b">
        <v>1</v>
      </c>
      <c r="T204" s="2">
        <v>45679</v>
      </c>
      <c r="U204" s="1" t="b">
        <v>0</v>
      </c>
      <c r="W204" s="1" t="b">
        <v>0</v>
      </c>
      <c r="Y204" s="1">
        <v>72</v>
      </c>
      <c r="Z204" s="1">
        <v>75</v>
      </c>
      <c r="AA204" s="1">
        <v>71</v>
      </c>
      <c r="AB204" s="1" t="b">
        <v>0</v>
      </c>
      <c r="AD204" s="1" t="b">
        <v>0</v>
      </c>
      <c r="AF204" s="1" t="s">
        <v>151</v>
      </c>
      <c r="AG204" s="1" t="s">
        <v>361</v>
      </c>
      <c r="AH204" s="1">
        <v>7</v>
      </c>
      <c r="AI204" s="1" t="s">
        <v>78</v>
      </c>
    </row>
    <row r="205" spans="1:35" ht="12.5" x14ac:dyDescent="0.25">
      <c r="A205" s="1">
        <v>201</v>
      </c>
      <c r="B205" s="1" t="s">
        <v>704</v>
      </c>
      <c r="C205" s="1" t="s">
        <v>705</v>
      </c>
      <c r="D205" s="1" t="s">
        <v>681</v>
      </c>
      <c r="E205" s="1" t="s">
        <v>52</v>
      </c>
      <c r="F205" s="1" t="s">
        <v>63</v>
      </c>
      <c r="G205" s="1" t="s">
        <v>139</v>
      </c>
      <c r="H205" s="1" t="s">
        <v>65</v>
      </c>
      <c r="I205" s="1" t="s">
        <v>82</v>
      </c>
      <c r="J205" s="1">
        <v>0.6</v>
      </c>
      <c r="K205" s="1" t="s">
        <v>706</v>
      </c>
      <c r="L205" s="1" t="s">
        <v>90</v>
      </c>
      <c r="M205" s="1" t="s">
        <v>45</v>
      </c>
      <c r="N205" s="1" t="s">
        <v>116</v>
      </c>
      <c r="O205" s="2">
        <v>45678</v>
      </c>
      <c r="P205" s="2">
        <v>45680</v>
      </c>
      <c r="Q205" s="1" t="b">
        <v>0</v>
      </c>
      <c r="S205" s="1" t="b">
        <v>0</v>
      </c>
      <c r="U205" s="1" t="b">
        <v>0</v>
      </c>
      <c r="W205" s="1" t="b">
        <v>0</v>
      </c>
      <c r="Y205" s="1">
        <v>58</v>
      </c>
      <c r="Z205" s="1">
        <v>57</v>
      </c>
      <c r="AA205" s="1">
        <v>52</v>
      </c>
      <c r="AB205" s="1" t="b">
        <v>0</v>
      </c>
      <c r="AD205" s="1" t="b">
        <v>0</v>
      </c>
      <c r="AF205" s="1" t="s">
        <v>77</v>
      </c>
      <c r="AG205" s="1" t="s">
        <v>69</v>
      </c>
      <c r="AH205" s="1">
        <v>2</v>
      </c>
      <c r="AI205" s="1" t="s">
        <v>78</v>
      </c>
    </row>
    <row r="206" spans="1:35" ht="12.5" hidden="1" x14ac:dyDescent="0.25">
      <c r="A206" s="1">
        <v>202</v>
      </c>
      <c r="B206" s="1" t="s">
        <v>707</v>
      </c>
      <c r="C206" s="1" t="s">
        <v>708</v>
      </c>
      <c r="D206" s="1" t="s">
        <v>329</v>
      </c>
      <c r="E206" s="1" t="s">
        <v>38</v>
      </c>
      <c r="F206" s="1" t="s">
        <v>111</v>
      </c>
      <c r="G206" s="1" t="s">
        <v>75</v>
      </c>
      <c r="H206" s="1" t="s">
        <v>88</v>
      </c>
      <c r="I206" s="1" t="s">
        <v>42</v>
      </c>
      <c r="J206" s="1">
        <v>8.6</v>
      </c>
      <c r="K206" s="1" t="s">
        <v>706</v>
      </c>
      <c r="L206" s="1" t="s">
        <v>90</v>
      </c>
      <c r="M206" s="1" t="s">
        <v>123</v>
      </c>
      <c r="N206" s="1" t="s">
        <v>84</v>
      </c>
      <c r="O206" s="2">
        <v>45684</v>
      </c>
      <c r="P206" s="2">
        <v>45684</v>
      </c>
      <c r="Q206" s="1" t="b">
        <v>1</v>
      </c>
      <c r="R206" s="1">
        <v>0</v>
      </c>
      <c r="S206" s="1" t="b">
        <v>0</v>
      </c>
      <c r="U206" s="1" t="b">
        <v>0</v>
      </c>
      <c r="W206" s="1" t="b">
        <v>0</v>
      </c>
      <c r="Y206" s="1">
        <v>79</v>
      </c>
      <c r="Z206" s="1">
        <v>61</v>
      </c>
      <c r="AA206" s="1">
        <v>61</v>
      </c>
      <c r="AB206" s="1" t="b">
        <v>0</v>
      </c>
      <c r="AD206" s="1" t="b">
        <v>0</v>
      </c>
      <c r="AF206" s="1" t="s">
        <v>57</v>
      </c>
      <c r="AH206" s="1">
        <v>0</v>
      </c>
      <c r="AI206" s="1" t="s">
        <v>70</v>
      </c>
    </row>
    <row r="207" spans="1:35" ht="12.5" x14ac:dyDescent="0.25">
      <c r="A207" s="1">
        <v>203</v>
      </c>
      <c r="B207" s="1" t="s">
        <v>709</v>
      </c>
      <c r="C207" s="1" t="s">
        <v>710</v>
      </c>
      <c r="D207" s="1" t="s">
        <v>101</v>
      </c>
      <c r="E207" s="1" t="s">
        <v>38</v>
      </c>
      <c r="F207" s="1" t="s">
        <v>111</v>
      </c>
      <c r="G207" s="1" t="s">
        <v>112</v>
      </c>
      <c r="H207" s="1" t="s">
        <v>65</v>
      </c>
      <c r="I207" s="1" t="s">
        <v>42</v>
      </c>
      <c r="J207" s="1">
        <v>9.6</v>
      </c>
      <c r="K207" s="1" t="s">
        <v>711</v>
      </c>
      <c r="L207" s="1" t="s">
        <v>67</v>
      </c>
      <c r="M207" s="1" t="s">
        <v>68</v>
      </c>
      <c r="N207" s="1" t="s">
        <v>84</v>
      </c>
      <c r="O207" s="2">
        <v>45663</v>
      </c>
      <c r="P207" s="2">
        <v>45666</v>
      </c>
      <c r="Q207" s="1" t="b">
        <v>0</v>
      </c>
      <c r="S207" s="1" t="b">
        <v>0</v>
      </c>
      <c r="U207" s="1" t="b">
        <v>0</v>
      </c>
      <c r="W207" s="1" t="b">
        <v>0</v>
      </c>
      <c r="Y207" s="1">
        <v>92</v>
      </c>
      <c r="Z207" s="1">
        <v>85</v>
      </c>
      <c r="AA207" s="1">
        <v>77</v>
      </c>
      <c r="AB207" s="1" t="b">
        <v>0</v>
      </c>
      <c r="AD207" s="1" t="b">
        <v>0</v>
      </c>
      <c r="AF207" s="1" t="s">
        <v>77</v>
      </c>
      <c r="AG207" s="1" t="s">
        <v>69</v>
      </c>
      <c r="AH207" s="1">
        <v>3</v>
      </c>
      <c r="AI207" s="1" t="s">
        <v>70</v>
      </c>
    </row>
    <row r="208" spans="1:35" ht="12.5" x14ac:dyDescent="0.25">
      <c r="A208" s="1">
        <v>204</v>
      </c>
      <c r="B208" s="1" t="s">
        <v>712</v>
      </c>
      <c r="C208" s="1" t="s">
        <v>713</v>
      </c>
      <c r="D208" s="1" t="s">
        <v>714</v>
      </c>
      <c r="E208" s="1" t="s">
        <v>38</v>
      </c>
      <c r="F208" s="1" t="s">
        <v>39</v>
      </c>
      <c r="G208" s="1" t="s">
        <v>40</v>
      </c>
      <c r="H208" s="1" t="s">
        <v>41</v>
      </c>
      <c r="I208" s="1" t="s">
        <v>53</v>
      </c>
      <c r="J208" s="1">
        <v>2.8</v>
      </c>
      <c r="K208" s="1" t="s">
        <v>715</v>
      </c>
      <c r="L208" s="1" t="s">
        <v>90</v>
      </c>
      <c r="M208" s="1" t="s">
        <v>91</v>
      </c>
      <c r="N208" s="1" t="s">
        <v>116</v>
      </c>
      <c r="O208" s="2">
        <v>45724</v>
      </c>
      <c r="P208" s="2">
        <v>45726</v>
      </c>
      <c r="Q208" s="1" t="b">
        <v>0</v>
      </c>
      <c r="S208" s="1" t="b">
        <v>0</v>
      </c>
      <c r="U208" s="1" t="b">
        <v>0</v>
      </c>
      <c r="W208" s="1" t="b">
        <v>0</v>
      </c>
      <c r="Y208" s="1">
        <v>91</v>
      </c>
      <c r="Z208" s="1">
        <v>83</v>
      </c>
      <c r="AA208" s="1">
        <v>91</v>
      </c>
      <c r="AB208" s="1" t="b">
        <v>0</v>
      </c>
      <c r="AD208" s="1" t="b">
        <v>0</v>
      </c>
      <c r="AF208" s="1" t="s">
        <v>77</v>
      </c>
      <c r="AG208" s="1" t="s">
        <v>69</v>
      </c>
      <c r="AH208" s="1">
        <v>2</v>
      </c>
      <c r="AI208" s="1" t="s">
        <v>48</v>
      </c>
    </row>
    <row r="209" spans="1:35" ht="12.5" hidden="1" x14ac:dyDescent="0.25">
      <c r="A209" s="1">
        <v>205</v>
      </c>
      <c r="B209" s="1" t="s">
        <v>716</v>
      </c>
      <c r="C209" s="1" t="s">
        <v>717</v>
      </c>
      <c r="D209" s="1" t="s">
        <v>326</v>
      </c>
      <c r="E209" s="1" t="s">
        <v>38</v>
      </c>
      <c r="F209" s="1" t="s">
        <v>63</v>
      </c>
      <c r="G209" s="1" t="s">
        <v>64</v>
      </c>
      <c r="H209" s="1" t="s">
        <v>88</v>
      </c>
      <c r="I209" s="1" t="s">
        <v>53</v>
      </c>
      <c r="J209" s="1">
        <v>3.2</v>
      </c>
      <c r="K209" s="1" t="s">
        <v>402</v>
      </c>
      <c r="L209" s="1" t="s">
        <v>114</v>
      </c>
      <c r="M209" s="1" t="s">
        <v>129</v>
      </c>
      <c r="N209" s="1" t="s">
        <v>92</v>
      </c>
      <c r="O209" s="2">
        <v>45789</v>
      </c>
      <c r="P209" s="2">
        <v>45790</v>
      </c>
      <c r="Q209" s="1" t="b">
        <v>1</v>
      </c>
      <c r="R209" s="1">
        <v>1</v>
      </c>
      <c r="S209" s="1" t="b">
        <v>1</v>
      </c>
      <c r="T209" s="2">
        <v>45793</v>
      </c>
      <c r="U209" s="1" t="b">
        <v>1</v>
      </c>
      <c r="V209" s="2">
        <v>45796</v>
      </c>
      <c r="W209" s="1" t="b">
        <v>1</v>
      </c>
      <c r="X209" s="2">
        <v>45806</v>
      </c>
      <c r="Y209" s="1">
        <v>54</v>
      </c>
      <c r="Z209" s="1">
        <v>59</v>
      </c>
      <c r="AA209" s="1">
        <v>59</v>
      </c>
      <c r="AB209" s="1" t="b">
        <v>0</v>
      </c>
      <c r="AD209" s="1" t="b">
        <v>0</v>
      </c>
      <c r="AF209" s="1" t="s">
        <v>47</v>
      </c>
      <c r="AH209" s="1">
        <v>17</v>
      </c>
      <c r="AI209" s="1" t="s">
        <v>215</v>
      </c>
    </row>
    <row r="210" spans="1:35" ht="12.5" hidden="1" x14ac:dyDescent="0.25">
      <c r="A210" s="1">
        <v>206</v>
      </c>
      <c r="B210" s="1" t="s">
        <v>718</v>
      </c>
      <c r="C210" s="1" t="s">
        <v>719</v>
      </c>
      <c r="D210" s="1" t="s">
        <v>229</v>
      </c>
      <c r="E210" s="1" t="s">
        <v>102</v>
      </c>
      <c r="F210" s="1" t="s">
        <v>111</v>
      </c>
      <c r="G210" s="1" t="s">
        <v>40</v>
      </c>
      <c r="H210" s="1" t="s">
        <v>65</v>
      </c>
      <c r="I210" s="1" t="s">
        <v>42</v>
      </c>
      <c r="J210" s="1">
        <v>6.9</v>
      </c>
      <c r="K210" s="1" t="s">
        <v>268</v>
      </c>
      <c r="L210" s="1" t="s">
        <v>114</v>
      </c>
      <c r="M210" s="1" t="s">
        <v>68</v>
      </c>
      <c r="N210" s="1" t="s">
        <v>116</v>
      </c>
      <c r="O210" s="2">
        <v>45681</v>
      </c>
      <c r="P210" s="2">
        <v>45681</v>
      </c>
      <c r="Q210" s="1" t="b">
        <v>1</v>
      </c>
      <c r="R210" s="1">
        <v>8</v>
      </c>
      <c r="S210" s="1" t="b">
        <v>1</v>
      </c>
      <c r="T210" s="2">
        <v>45682</v>
      </c>
      <c r="U210" s="1" t="b">
        <v>1</v>
      </c>
      <c r="V210" s="2">
        <v>45690</v>
      </c>
      <c r="W210" s="1" t="b">
        <v>1</v>
      </c>
      <c r="X210" s="2">
        <v>45694</v>
      </c>
      <c r="Y210" s="1">
        <v>99</v>
      </c>
      <c r="Z210" s="1">
        <v>83</v>
      </c>
      <c r="AA210" s="1">
        <v>80</v>
      </c>
      <c r="AB210" s="1" t="b">
        <v>1</v>
      </c>
      <c r="AC210" s="2">
        <v>45695</v>
      </c>
      <c r="AD210" s="1" t="b">
        <v>1</v>
      </c>
      <c r="AE210" s="2">
        <v>45701</v>
      </c>
      <c r="AF210" s="1" t="s">
        <v>134</v>
      </c>
      <c r="AH210" s="1">
        <v>20</v>
      </c>
      <c r="AI210" s="1" t="s">
        <v>48</v>
      </c>
    </row>
    <row r="211" spans="1:35" ht="12.5" hidden="1" x14ac:dyDescent="0.25">
      <c r="A211" s="1">
        <v>207</v>
      </c>
      <c r="B211" s="1" t="s">
        <v>720</v>
      </c>
      <c r="C211" s="1" t="s">
        <v>721</v>
      </c>
      <c r="D211" s="1" t="s">
        <v>418</v>
      </c>
      <c r="E211" s="1" t="s">
        <v>102</v>
      </c>
      <c r="F211" s="1" t="s">
        <v>111</v>
      </c>
      <c r="G211" s="1" t="s">
        <v>97</v>
      </c>
      <c r="H211" s="1" t="s">
        <v>65</v>
      </c>
      <c r="I211" s="1" t="s">
        <v>53</v>
      </c>
      <c r="J211" s="1">
        <v>7</v>
      </c>
      <c r="K211" s="1" t="s">
        <v>430</v>
      </c>
      <c r="L211" s="1" t="s">
        <v>114</v>
      </c>
      <c r="M211" s="1" t="s">
        <v>45</v>
      </c>
      <c r="N211" s="1" t="s">
        <v>116</v>
      </c>
      <c r="O211" s="2">
        <v>45670</v>
      </c>
      <c r="P211" s="2">
        <v>45670</v>
      </c>
      <c r="Q211" s="1" t="b">
        <v>1</v>
      </c>
      <c r="R211" s="1">
        <v>6</v>
      </c>
      <c r="S211" s="1" t="b">
        <v>1</v>
      </c>
      <c r="T211" s="2">
        <v>45673</v>
      </c>
      <c r="U211" s="1" t="b">
        <v>1</v>
      </c>
      <c r="V211" s="2">
        <v>45675</v>
      </c>
      <c r="W211" s="1" t="b">
        <v>1</v>
      </c>
      <c r="X211" s="2">
        <v>45676</v>
      </c>
      <c r="Y211" s="1">
        <v>67</v>
      </c>
      <c r="Z211" s="1">
        <v>75</v>
      </c>
      <c r="AA211" s="1">
        <v>64</v>
      </c>
      <c r="AB211" s="1" t="b">
        <v>0</v>
      </c>
      <c r="AD211" s="1" t="b">
        <v>0</v>
      </c>
      <c r="AF211" s="1" t="s">
        <v>47</v>
      </c>
      <c r="AG211" s="1" t="s">
        <v>117</v>
      </c>
      <c r="AH211" s="1">
        <v>6</v>
      </c>
      <c r="AI211" s="1" t="s">
        <v>78</v>
      </c>
    </row>
    <row r="212" spans="1:35" ht="12.5" hidden="1" x14ac:dyDescent="0.25">
      <c r="A212" s="1">
        <v>208</v>
      </c>
      <c r="B212" s="1" t="s">
        <v>722</v>
      </c>
      <c r="C212" s="1" t="s">
        <v>723</v>
      </c>
      <c r="D212" s="1" t="s">
        <v>218</v>
      </c>
      <c r="E212" s="1" t="s">
        <v>52</v>
      </c>
      <c r="F212" s="1" t="s">
        <v>74</v>
      </c>
      <c r="G212" s="1" t="s">
        <v>97</v>
      </c>
      <c r="H212" s="1" t="s">
        <v>88</v>
      </c>
      <c r="I212" s="1" t="s">
        <v>82</v>
      </c>
      <c r="J212" s="1">
        <v>0.3</v>
      </c>
      <c r="K212" s="1" t="s">
        <v>724</v>
      </c>
      <c r="L212" s="1" t="s">
        <v>90</v>
      </c>
      <c r="M212" s="1" t="s">
        <v>45</v>
      </c>
      <c r="N212" s="1" t="s">
        <v>46</v>
      </c>
      <c r="O212" s="2">
        <v>45680</v>
      </c>
      <c r="P212" s="2">
        <v>45692</v>
      </c>
      <c r="Q212" s="1" t="b">
        <v>1</v>
      </c>
      <c r="R212" s="1">
        <v>5</v>
      </c>
      <c r="S212" s="1" t="b">
        <v>1</v>
      </c>
      <c r="T212" s="2">
        <v>45694</v>
      </c>
      <c r="U212" s="1" t="b">
        <v>1</v>
      </c>
      <c r="V212" s="2">
        <v>45701</v>
      </c>
      <c r="W212" s="1" t="b">
        <v>1</v>
      </c>
      <c r="X212" s="2">
        <v>45703</v>
      </c>
      <c r="Y212" s="1">
        <v>70</v>
      </c>
      <c r="Z212" s="1">
        <v>79</v>
      </c>
      <c r="AA212" s="1">
        <v>71</v>
      </c>
      <c r="AB212" s="1" t="b">
        <v>0</v>
      </c>
      <c r="AD212" s="1" t="b">
        <v>0</v>
      </c>
      <c r="AF212" s="1" t="s">
        <v>47</v>
      </c>
      <c r="AG212" s="1" t="s">
        <v>287</v>
      </c>
      <c r="AH212" s="1">
        <v>23</v>
      </c>
      <c r="AI212" s="1" t="s">
        <v>78</v>
      </c>
    </row>
    <row r="213" spans="1:35" ht="12.5" hidden="1" x14ac:dyDescent="0.25">
      <c r="A213" s="1">
        <v>209</v>
      </c>
      <c r="B213" s="1" t="s">
        <v>725</v>
      </c>
      <c r="C213" s="1" t="s">
        <v>726</v>
      </c>
      <c r="D213" s="1" t="s">
        <v>245</v>
      </c>
      <c r="E213" s="1" t="s">
        <v>102</v>
      </c>
      <c r="F213" s="1" t="s">
        <v>39</v>
      </c>
      <c r="G213" s="1" t="s">
        <v>64</v>
      </c>
      <c r="H213" s="1" t="s">
        <v>41</v>
      </c>
      <c r="I213" s="1" t="s">
        <v>82</v>
      </c>
      <c r="J213" s="1">
        <v>3.6</v>
      </c>
      <c r="K213" s="1" t="s">
        <v>727</v>
      </c>
      <c r="L213" s="1" t="s">
        <v>141</v>
      </c>
      <c r="M213" s="1" t="s">
        <v>129</v>
      </c>
      <c r="N213" s="1" t="s">
        <v>92</v>
      </c>
      <c r="O213" s="2">
        <v>45789</v>
      </c>
      <c r="P213" s="2">
        <v>45789</v>
      </c>
      <c r="Q213" s="1" t="b">
        <v>1</v>
      </c>
      <c r="R213" s="1">
        <v>3</v>
      </c>
      <c r="S213" s="1" t="b">
        <v>1</v>
      </c>
      <c r="T213" s="2">
        <v>45795</v>
      </c>
      <c r="U213" s="1" t="b">
        <v>0</v>
      </c>
      <c r="W213" s="1" t="b">
        <v>0</v>
      </c>
      <c r="Y213" s="1">
        <v>76</v>
      </c>
      <c r="Z213" s="1">
        <v>61</v>
      </c>
      <c r="AA213" s="1">
        <v>58</v>
      </c>
      <c r="AB213" s="1" t="b">
        <v>0</v>
      </c>
      <c r="AD213" s="1" t="b">
        <v>0</v>
      </c>
      <c r="AF213" s="1" t="s">
        <v>151</v>
      </c>
      <c r="AG213" s="1" t="s">
        <v>207</v>
      </c>
      <c r="AH213" s="1">
        <v>6</v>
      </c>
      <c r="AI213" s="1" t="s">
        <v>78</v>
      </c>
    </row>
    <row r="214" spans="1:35" ht="12.5" x14ac:dyDescent="0.25">
      <c r="A214" s="1">
        <v>210</v>
      </c>
      <c r="B214" s="1" t="s">
        <v>728</v>
      </c>
      <c r="C214" s="1" t="s">
        <v>729</v>
      </c>
      <c r="D214" s="1" t="s">
        <v>144</v>
      </c>
      <c r="E214" s="1" t="s">
        <v>62</v>
      </c>
      <c r="F214" s="1" t="s">
        <v>74</v>
      </c>
      <c r="G214" s="1" t="s">
        <v>64</v>
      </c>
      <c r="H214" s="1" t="s">
        <v>41</v>
      </c>
      <c r="I214" s="1" t="s">
        <v>42</v>
      </c>
      <c r="J214" s="1">
        <v>9.1999999999999993</v>
      </c>
      <c r="K214" s="1" t="s">
        <v>730</v>
      </c>
      <c r="L214" s="1" t="s">
        <v>141</v>
      </c>
      <c r="M214" s="1" t="s">
        <v>56</v>
      </c>
      <c r="N214" s="1" t="s">
        <v>46</v>
      </c>
      <c r="O214" s="2">
        <v>45734</v>
      </c>
      <c r="P214" s="2">
        <v>45740</v>
      </c>
      <c r="Q214" s="1" t="b">
        <v>0</v>
      </c>
      <c r="S214" s="1" t="b">
        <v>0</v>
      </c>
      <c r="U214" s="1" t="b">
        <v>0</v>
      </c>
      <c r="W214" s="1" t="b">
        <v>0</v>
      </c>
      <c r="Y214" s="1">
        <v>60</v>
      </c>
      <c r="Z214" s="1">
        <v>83</v>
      </c>
      <c r="AA214" s="1">
        <v>75</v>
      </c>
      <c r="AB214" s="1" t="b">
        <v>0</v>
      </c>
      <c r="AD214" s="1" t="b">
        <v>0</v>
      </c>
      <c r="AF214" s="1" t="s">
        <v>77</v>
      </c>
      <c r="AG214" s="1" t="s">
        <v>69</v>
      </c>
      <c r="AH214" s="1">
        <v>6</v>
      </c>
      <c r="AI214" s="1" t="s">
        <v>118</v>
      </c>
    </row>
    <row r="215" spans="1:35" ht="12.5" hidden="1" x14ac:dyDescent="0.25">
      <c r="A215" s="1">
        <v>211</v>
      </c>
      <c r="B215" s="1" t="s">
        <v>731</v>
      </c>
      <c r="C215" s="1" t="s">
        <v>732</v>
      </c>
      <c r="D215" s="1" t="s">
        <v>672</v>
      </c>
      <c r="E215" s="1" t="s">
        <v>62</v>
      </c>
      <c r="F215" s="1" t="s">
        <v>74</v>
      </c>
      <c r="G215" s="1" t="s">
        <v>40</v>
      </c>
      <c r="H215" s="1" t="s">
        <v>41</v>
      </c>
      <c r="I215" s="1" t="s">
        <v>53</v>
      </c>
      <c r="J215" s="1">
        <v>6.4</v>
      </c>
      <c r="K215" s="1" t="s">
        <v>182</v>
      </c>
      <c r="L215" s="1" t="s">
        <v>90</v>
      </c>
      <c r="M215" s="1" t="s">
        <v>123</v>
      </c>
      <c r="N215" s="1" t="s">
        <v>46</v>
      </c>
      <c r="O215" s="2">
        <v>45723</v>
      </c>
      <c r="P215" s="2">
        <v>45728</v>
      </c>
      <c r="Q215" s="1" t="b">
        <v>1</v>
      </c>
      <c r="R215" s="1">
        <v>9</v>
      </c>
      <c r="S215" s="1" t="b">
        <v>1</v>
      </c>
      <c r="T215" s="2">
        <v>45734</v>
      </c>
      <c r="U215" s="1" t="b">
        <v>1</v>
      </c>
      <c r="V215" s="2">
        <v>45743</v>
      </c>
      <c r="W215" s="1" t="b">
        <v>1</v>
      </c>
      <c r="X215" s="2">
        <v>45747</v>
      </c>
      <c r="Y215" s="1">
        <v>80</v>
      </c>
      <c r="Z215" s="1">
        <v>77</v>
      </c>
      <c r="AA215" s="1">
        <v>73</v>
      </c>
      <c r="AB215" s="1" t="b">
        <v>1</v>
      </c>
      <c r="AC215" s="2">
        <v>45749</v>
      </c>
      <c r="AD215" s="1" t="b">
        <v>1</v>
      </c>
      <c r="AE215" s="2">
        <v>45753</v>
      </c>
      <c r="AF215" s="1" t="s">
        <v>134</v>
      </c>
      <c r="AH215" s="1">
        <v>30</v>
      </c>
      <c r="AI215" s="1" t="s">
        <v>215</v>
      </c>
    </row>
    <row r="216" spans="1:35" ht="12.5" hidden="1" x14ac:dyDescent="0.25">
      <c r="A216" s="1">
        <v>212</v>
      </c>
      <c r="B216" s="1" t="s">
        <v>733</v>
      </c>
      <c r="C216" s="1" t="s">
        <v>734</v>
      </c>
      <c r="D216" s="1" t="s">
        <v>583</v>
      </c>
      <c r="E216" s="1" t="s">
        <v>38</v>
      </c>
      <c r="F216" s="1" t="s">
        <v>63</v>
      </c>
      <c r="G216" s="1" t="s">
        <v>64</v>
      </c>
      <c r="H216" s="1" t="s">
        <v>65</v>
      </c>
      <c r="I216" s="1" t="s">
        <v>53</v>
      </c>
      <c r="J216" s="1">
        <v>5.7</v>
      </c>
      <c r="K216" s="1" t="s">
        <v>446</v>
      </c>
      <c r="L216" s="1" t="s">
        <v>55</v>
      </c>
      <c r="M216" s="1" t="s">
        <v>45</v>
      </c>
      <c r="N216" s="1" t="s">
        <v>92</v>
      </c>
      <c r="O216" s="2">
        <v>45725</v>
      </c>
      <c r="P216" s="2">
        <v>45727</v>
      </c>
      <c r="Q216" s="1" t="b">
        <v>1</v>
      </c>
      <c r="R216" s="1">
        <v>12</v>
      </c>
      <c r="S216" s="1" t="b">
        <v>1</v>
      </c>
      <c r="T216" s="2">
        <v>45730</v>
      </c>
      <c r="U216" s="1" t="b">
        <v>1</v>
      </c>
      <c r="V216" s="2">
        <v>45733</v>
      </c>
      <c r="W216" s="1" t="b">
        <v>1</v>
      </c>
      <c r="X216" s="2">
        <v>45738</v>
      </c>
      <c r="Y216" s="1">
        <v>61</v>
      </c>
      <c r="Z216" s="1">
        <v>77</v>
      </c>
      <c r="AA216" s="1">
        <v>75</v>
      </c>
      <c r="AB216" s="1" t="b">
        <v>0</v>
      </c>
      <c r="AD216" s="1" t="b">
        <v>0</v>
      </c>
      <c r="AF216" s="1" t="s">
        <v>47</v>
      </c>
      <c r="AG216" s="1" t="s">
        <v>361</v>
      </c>
      <c r="AH216" s="1">
        <v>13</v>
      </c>
      <c r="AI216" s="1" t="s">
        <v>70</v>
      </c>
    </row>
    <row r="217" spans="1:35" ht="12.5" x14ac:dyDescent="0.25">
      <c r="A217" s="1">
        <v>213</v>
      </c>
      <c r="B217" s="1" t="s">
        <v>735</v>
      </c>
      <c r="C217" s="1" t="s">
        <v>736</v>
      </c>
      <c r="D217" s="1" t="s">
        <v>737</v>
      </c>
      <c r="E217" s="1" t="s">
        <v>102</v>
      </c>
      <c r="F217" s="1" t="s">
        <v>39</v>
      </c>
      <c r="G217" s="1" t="s">
        <v>64</v>
      </c>
      <c r="H217" s="1" t="s">
        <v>88</v>
      </c>
      <c r="I217" s="1" t="s">
        <v>42</v>
      </c>
      <c r="J217" s="1">
        <v>5.7</v>
      </c>
      <c r="K217" s="1" t="s">
        <v>353</v>
      </c>
      <c r="L217" s="1" t="s">
        <v>114</v>
      </c>
      <c r="M217" s="1" t="s">
        <v>115</v>
      </c>
      <c r="N217" s="1" t="s">
        <v>92</v>
      </c>
      <c r="O217" s="2">
        <v>45678</v>
      </c>
      <c r="P217" s="2">
        <v>45680</v>
      </c>
      <c r="Q217" s="1" t="b">
        <v>0</v>
      </c>
      <c r="S217" s="1" t="b">
        <v>0</v>
      </c>
      <c r="U217" s="1" t="b">
        <v>0</v>
      </c>
      <c r="W217" s="1" t="b">
        <v>0</v>
      </c>
      <c r="Y217" s="1">
        <v>59</v>
      </c>
      <c r="Z217" s="1">
        <v>85</v>
      </c>
      <c r="AA217" s="1">
        <v>75</v>
      </c>
      <c r="AB217" s="1" t="b">
        <v>0</v>
      </c>
      <c r="AD217" s="1" t="b">
        <v>0</v>
      </c>
      <c r="AF217" s="1" t="s">
        <v>77</v>
      </c>
      <c r="AG217" s="1" t="s">
        <v>69</v>
      </c>
      <c r="AH217" s="1">
        <v>2</v>
      </c>
      <c r="AI217" s="1" t="s">
        <v>93</v>
      </c>
    </row>
    <row r="218" spans="1:35" ht="12.5" hidden="1" x14ac:dyDescent="0.25">
      <c r="A218" s="1">
        <v>214</v>
      </c>
      <c r="B218" s="1" t="s">
        <v>738</v>
      </c>
      <c r="C218" s="1" t="s">
        <v>739</v>
      </c>
      <c r="D218" s="1" t="s">
        <v>633</v>
      </c>
      <c r="E218" s="1" t="s">
        <v>102</v>
      </c>
      <c r="F218" s="1" t="s">
        <v>39</v>
      </c>
      <c r="G218" s="1" t="s">
        <v>64</v>
      </c>
      <c r="H218" s="1" t="s">
        <v>41</v>
      </c>
      <c r="I218" s="1" t="s">
        <v>82</v>
      </c>
      <c r="J218" s="1">
        <v>3.1</v>
      </c>
      <c r="K218" s="1" t="s">
        <v>740</v>
      </c>
      <c r="L218" s="1" t="s">
        <v>114</v>
      </c>
      <c r="M218" s="1" t="s">
        <v>123</v>
      </c>
      <c r="N218" s="1" t="s">
        <v>46</v>
      </c>
      <c r="O218" s="2">
        <v>45781</v>
      </c>
      <c r="P218" s="2">
        <v>45785</v>
      </c>
      <c r="Q218" s="1" t="b">
        <v>1</v>
      </c>
      <c r="R218" s="1">
        <v>8</v>
      </c>
      <c r="S218" s="1" t="b">
        <v>1</v>
      </c>
      <c r="T218" s="2">
        <v>45788</v>
      </c>
      <c r="U218" s="1" t="b">
        <v>1</v>
      </c>
      <c r="V218" s="2">
        <v>45800</v>
      </c>
      <c r="W218" s="1" t="b">
        <v>0</v>
      </c>
      <c r="Y218" s="1">
        <v>59</v>
      </c>
      <c r="Z218" s="1">
        <v>61</v>
      </c>
      <c r="AA218" s="1">
        <v>65</v>
      </c>
      <c r="AB218" s="1" t="b">
        <v>0</v>
      </c>
      <c r="AD218" s="1" t="b">
        <v>0</v>
      </c>
      <c r="AF218" s="1" t="s">
        <v>105</v>
      </c>
      <c r="AG218" s="1" t="s">
        <v>361</v>
      </c>
      <c r="AH218" s="1">
        <v>19</v>
      </c>
      <c r="AI218" s="1" t="s">
        <v>157</v>
      </c>
    </row>
    <row r="219" spans="1:35" ht="12.5" hidden="1" x14ac:dyDescent="0.25">
      <c r="A219" s="1">
        <v>215</v>
      </c>
      <c r="B219" s="1" t="s">
        <v>741</v>
      </c>
      <c r="C219" s="1" t="s">
        <v>742</v>
      </c>
      <c r="D219" s="1" t="s">
        <v>497</v>
      </c>
      <c r="E219" s="1" t="s">
        <v>102</v>
      </c>
      <c r="F219" s="1" t="s">
        <v>39</v>
      </c>
      <c r="G219" s="1" t="s">
        <v>40</v>
      </c>
      <c r="H219" s="1" t="s">
        <v>88</v>
      </c>
      <c r="I219" s="1" t="s">
        <v>53</v>
      </c>
      <c r="J219" s="1">
        <v>2.2000000000000002</v>
      </c>
      <c r="K219" s="1" t="s">
        <v>182</v>
      </c>
      <c r="L219" s="1" t="s">
        <v>90</v>
      </c>
      <c r="M219" s="1" t="s">
        <v>123</v>
      </c>
      <c r="N219" s="1" t="s">
        <v>92</v>
      </c>
      <c r="O219" s="2">
        <v>45778</v>
      </c>
      <c r="P219" s="2">
        <v>45782</v>
      </c>
      <c r="Q219" s="1" t="b">
        <v>1</v>
      </c>
      <c r="R219" s="1">
        <v>12</v>
      </c>
      <c r="S219" s="1" t="b">
        <v>1</v>
      </c>
      <c r="T219" s="2">
        <v>45789</v>
      </c>
      <c r="U219" s="1" t="b">
        <v>0</v>
      </c>
      <c r="W219" s="1" t="b">
        <v>0</v>
      </c>
      <c r="Y219" s="1">
        <v>76</v>
      </c>
      <c r="Z219" s="1">
        <v>75</v>
      </c>
      <c r="AA219" s="1">
        <v>64</v>
      </c>
      <c r="AB219" s="1" t="b">
        <v>0</v>
      </c>
      <c r="AD219" s="1" t="b">
        <v>0</v>
      </c>
      <c r="AF219" s="1" t="s">
        <v>151</v>
      </c>
      <c r="AH219" s="1">
        <v>11</v>
      </c>
      <c r="AI219" s="1" t="s">
        <v>78</v>
      </c>
    </row>
    <row r="220" spans="1:35" ht="12.5" hidden="1" x14ac:dyDescent="0.25">
      <c r="A220" s="1">
        <v>216</v>
      </c>
      <c r="B220" s="1" t="s">
        <v>743</v>
      </c>
      <c r="C220" s="1" t="s">
        <v>744</v>
      </c>
      <c r="D220" s="1" t="s">
        <v>195</v>
      </c>
      <c r="E220" s="1" t="s">
        <v>52</v>
      </c>
      <c r="F220" s="1" t="s">
        <v>39</v>
      </c>
      <c r="G220" s="1" t="s">
        <v>97</v>
      </c>
      <c r="H220" s="1" t="s">
        <v>41</v>
      </c>
      <c r="I220" s="1" t="s">
        <v>42</v>
      </c>
      <c r="J220" s="1">
        <v>10.199999999999999</v>
      </c>
      <c r="K220" s="1" t="s">
        <v>264</v>
      </c>
      <c r="L220" s="1" t="s">
        <v>67</v>
      </c>
      <c r="M220" s="1" t="s">
        <v>123</v>
      </c>
      <c r="N220" s="1" t="s">
        <v>116</v>
      </c>
      <c r="O220" s="2">
        <v>45749</v>
      </c>
      <c r="P220" s="2">
        <v>45752</v>
      </c>
      <c r="Q220" s="1" t="b">
        <v>1</v>
      </c>
      <c r="R220" s="1">
        <v>12</v>
      </c>
      <c r="S220" s="1" t="b">
        <v>1</v>
      </c>
      <c r="T220" s="2">
        <v>45762</v>
      </c>
      <c r="U220" s="1" t="b">
        <v>1</v>
      </c>
      <c r="V220" s="2">
        <v>45768</v>
      </c>
      <c r="W220" s="1" t="b">
        <v>1</v>
      </c>
      <c r="X220" s="2">
        <v>45769</v>
      </c>
      <c r="Y220" s="1">
        <v>64</v>
      </c>
      <c r="Z220" s="1">
        <v>63</v>
      </c>
      <c r="AA220" s="1">
        <v>67</v>
      </c>
      <c r="AB220" s="1" t="b">
        <v>0</v>
      </c>
      <c r="AD220" s="1" t="b">
        <v>0</v>
      </c>
      <c r="AF220" s="1" t="s">
        <v>47</v>
      </c>
      <c r="AG220" s="1" t="s">
        <v>361</v>
      </c>
      <c r="AH220" s="1">
        <v>20</v>
      </c>
      <c r="AI220" s="1" t="s">
        <v>165</v>
      </c>
    </row>
    <row r="221" spans="1:35" ht="12.5" x14ac:dyDescent="0.25">
      <c r="A221" s="1">
        <v>217</v>
      </c>
      <c r="B221" s="1" t="s">
        <v>745</v>
      </c>
      <c r="C221" s="1" t="s">
        <v>746</v>
      </c>
      <c r="D221" s="1" t="s">
        <v>149</v>
      </c>
      <c r="E221" s="1" t="s">
        <v>38</v>
      </c>
      <c r="F221" s="1" t="s">
        <v>63</v>
      </c>
      <c r="G221" s="1" t="s">
        <v>64</v>
      </c>
      <c r="H221" s="1" t="s">
        <v>41</v>
      </c>
      <c r="I221" s="1" t="s">
        <v>82</v>
      </c>
      <c r="J221" s="1">
        <v>0.5</v>
      </c>
      <c r="K221" s="1" t="s">
        <v>206</v>
      </c>
      <c r="L221" s="1" t="s">
        <v>44</v>
      </c>
      <c r="M221" s="1" t="s">
        <v>45</v>
      </c>
      <c r="N221" s="1" t="s">
        <v>92</v>
      </c>
      <c r="O221" s="2">
        <v>45704</v>
      </c>
      <c r="P221" s="2">
        <v>45710</v>
      </c>
      <c r="Q221" s="1" t="b">
        <v>0</v>
      </c>
      <c r="S221" s="1" t="b">
        <v>0</v>
      </c>
      <c r="U221" s="1" t="b">
        <v>0</v>
      </c>
      <c r="W221" s="1" t="b">
        <v>0</v>
      </c>
      <c r="Y221" s="1">
        <v>61</v>
      </c>
      <c r="Z221" s="1">
        <v>64</v>
      </c>
      <c r="AA221" s="1">
        <v>79</v>
      </c>
      <c r="AB221" s="1" t="b">
        <v>0</v>
      </c>
      <c r="AD221" s="1" t="b">
        <v>0</v>
      </c>
      <c r="AF221" s="1" t="s">
        <v>77</v>
      </c>
      <c r="AG221" s="1" t="s">
        <v>69</v>
      </c>
      <c r="AH221" s="1">
        <v>6</v>
      </c>
      <c r="AI221" s="1" t="s">
        <v>215</v>
      </c>
    </row>
    <row r="222" spans="1:35" ht="12.5" hidden="1" x14ac:dyDescent="0.25">
      <c r="A222" s="1">
        <v>218</v>
      </c>
      <c r="B222" s="1" t="s">
        <v>747</v>
      </c>
      <c r="C222" s="1" t="s">
        <v>748</v>
      </c>
      <c r="D222" s="1" t="s">
        <v>681</v>
      </c>
      <c r="E222" s="1" t="s">
        <v>62</v>
      </c>
      <c r="F222" s="1" t="s">
        <v>111</v>
      </c>
      <c r="G222" s="1" t="s">
        <v>139</v>
      </c>
      <c r="H222" s="1" t="s">
        <v>41</v>
      </c>
      <c r="I222" s="1" t="s">
        <v>53</v>
      </c>
      <c r="J222" s="1">
        <v>4.3</v>
      </c>
      <c r="K222" s="1" t="s">
        <v>749</v>
      </c>
      <c r="L222" s="1" t="s">
        <v>67</v>
      </c>
      <c r="M222" s="1" t="s">
        <v>123</v>
      </c>
      <c r="N222" s="1" t="s">
        <v>116</v>
      </c>
      <c r="O222" s="2">
        <v>45659</v>
      </c>
      <c r="P222" s="2">
        <v>45662</v>
      </c>
      <c r="Q222" s="1" t="b">
        <v>1</v>
      </c>
      <c r="R222" s="1">
        <v>10</v>
      </c>
      <c r="S222" s="1" t="b">
        <v>1</v>
      </c>
      <c r="T222" s="2">
        <v>45666</v>
      </c>
      <c r="U222" s="1" t="b">
        <v>1</v>
      </c>
      <c r="V222" s="2">
        <v>45674</v>
      </c>
      <c r="W222" s="1" t="b">
        <v>1</v>
      </c>
      <c r="X222" s="2">
        <v>45676</v>
      </c>
      <c r="Y222" s="1">
        <v>77</v>
      </c>
      <c r="Z222" s="1">
        <v>51</v>
      </c>
      <c r="AA222" s="1">
        <v>68</v>
      </c>
      <c r="AB222" s="1" t="b">
        <v>0</v>
      </c>
      <c r="AD222" s="1" t="b">
        <v>0</v>
      </c>
      <c r="AF222" s="1" t="s">
        <v>47</v>
      </c>
      <c r="AG222" s="1" t="s">
        <v>234</v>
      </c>
      <c r="AH222" s="1">
        <v>17</v>
      </c>
      <c r="AI222" s="1" t="s">
        <v>78</v>
      </c>
    </row>
    <row r="223" spans="1:35" ht="12.5" hidden="1" x14ac:dyDescent="0.25">
      <c r="A223" s="1">
        <v>219</v>
      </c>
      <c r="B223" s="1" t="s">
        <v>750</v>
      </c>
      <c r="C223" s="1" t="s">
        <v>751</v>
      </c>
      <c r="D223" s="1" t="s">
        <v>352</v>
      </c>
      <c r="E223" s="1" t="s">
        <v>62</v>
      </c>
      <c r="F223" s="1" t="s">
        <v>111</v>
      </c>
      <c r="G223" s="1" t="s">
        <v>112</v>
      </c>
      <c r="H223" s="1" t="s">
        <v>88</v>
      </c>
      <c r="I223" s="1" t="s">
        <v>53</v>
      </c>
      <c r="J223" s="1">
        <v>8.1999999999999993</v>
      </c>
      <c r="K223" s="1" t="s">
        <v>192</v>
      </c>
      <c r="L223" s="1" t="s">
        <v>114</v>
      </c>
      <c r="M223" s="1" t="s">
        <v>129</v>
      </c>
      <c r="N223" s="1" t="s">
        <v>92</v>
      </c>
      <c r="O223" s="2">
        <v>45703</v>
      </c>
      <c r="P223" s="2">
        <v>45708</v>
      </c>
      <c r="Q223" s="1" t="b">
        <v>1</v>
      </c>
      <c r="R223" s="1">
        <v>3</v>
      </c>
      <c r="S223" s="1" t="b">
        <v>0</v>
      </c>
      <c r="U223" s="1" t="b">
        <v>0</v>
      </c>
      <c r="W223" s="1" t="b">
        <v>0</v>
      </c>
      <c r="Y223" s="1">
        <v>92</v>
      </c>
      <c r="Z223" s="1">
        <v>79</v>
      </c>
      <c r="AA223" s="1">
        <v>80</v>
      </c>
      <c r="AB223" s="1" t="b">
        <v>0</v>
      </c>
      <c r="AD223" s="1" t="b">
        <v>0</v>
      </c>
      <c r="AF223" s="1" t="s">
        <v>57</v>
      </c>
      <c r="AG223" s="1" t="s">
        <v>124</v>
      </c>
      <c r="AH223" s="1">
        <v>5</v>
      </c>
      <c r="AI223" s="1" t="s">
        <v>215</v>
      </c>
    </row>
    <row r="224" spans="1:35" ht="12.5" x14ac:dyDescent="0.25">
      <c r="A224" s="1">
        <v>220</v>
      </c>
      <c r="B224" s="1" t="s">
        <v>752</v>
      </c>
      <c r="C224" s="1" t="s">
        <v>753</v>
      </c>
      <c r="D224" s="1" t="s">
        <v>393</v>
      </c>
      <c r="E224" s="1" t="s">
        <v>52</v>
      </c>
      <c r="F224" s="1" t="s">
        <v>39</v>
      </c>
      <c r="G224" s="1" t="s">
        <v>40</v>
      </c>
      <c r="H224" s="1" t="s">
        <v>88</v>
      </c>
      <c r="I224" s="1" t="s">
        <v>53</v>
      </c>
      <c r="J224" s="1">
        <v>8</v>
      </c>
      <c r="K224" s="1" t="s">
        <v>210</v>
      </c>
      <c r="L224" s="1" t="s">
        <v>90</v>
      </c>
      <c r="M224" s="1" t="s">
        <v>68</v>
      </c>
      <c r="N224" s="1" t="s">
        <v>84</v>
      </c>
      <c r="O224" s="2">
        <v>45731</v>
      </c>
      <c r="P224" s="2">
        <v>45734</v>
      </c>
      <c r="Q224" s="1" t="b">
        <v>0</v>
      </c>
      <c r="S224" s="1" t="b">
        <v>0</v>
      </c>
      <c r="U224" s="1" t="b">
        <v>0</v>
      </c>
      <c r="W224" s="1" t="b">
        <v>0</v>
      </c>
      <c r="Y224" s="1">
        <v>73</v>
      </c>
      <c r="Z224" s="1">
        <v>76</v>
      </c>
      <c r="AA224" s="1">
        <v>70</v>
      </c>
      <c r="AB224" s="1" t="b">
        <v>0</v>
      </c>
      <c r="AD224" s="1" t="b">
        <v>0</v>
      </c>
      <c r="AF224" s="1" t="s">
        <v>77</v>
      </c>
      <c r="AG224" s="1" t="s">
        <v>69</v>
      </c>
      <c r="AH224" s="1">
        <v>3</v>
      </c>
      <c r="AI224" s="1" t="s">
        <v>135</v>
      </c>
    </row>
    <row r="225" spans="1:35" ht="12.5" x14ac:dyDescent="0.25">
      <c r="A225" s="1">
        <v>221</v>
      </c>
      <c r="B225" s="1" t="s">
        <v>754</v>
      </c>
      <c r="C225" s="1" t="s">
        <v>755</v>
      </c>
      <c r="D225" s="1" t="s">
        <v>580</v>
      </c>
      <c r="E225" s="1" t="s">
        <v>62</v>
      </c>
      <c r="F225" s="1" t="s">
        <v>74</v>
      </c>
      <c r="G225" s="1" t="s">
        <v>75</v>
      </c>
      <c r="H225" s="1" t="s">
        <v>65</v>
      </c>
      <c r="I225" s="1" t="s">
        <v>53</v>
      </c>
      <c r="J225" s="1">
        <v>2.2999999999999998</v>
      </c>
      <c r="K225" s="1" t="s">
        <v>624</v>
      </c>
      <c r="L225" s="1" t="s">
        <v>55</v>
      </c>
      <c r="M225" s="1" t="s">
        <v>91</v>
      </c>
      <c r="N225" s="1" t="s">
        <v>84</v>
      </c>
      <c r="O225" s="2">
        <v>45753</v>
      </c>
      <c r="P225" s="2">
        <v>45755</v>
      </c>
      <c r="Q225" s="1" t="b">
        <v>0</v>
      </c>
      <c r="S225" s="1" t="b">
        <v>0</v>
      </c>
      <c r="U225" s="1" t="b">
        <v>0</v>
      </c>
      <c r="W225" s="1" t="b">
        <v>0</v>
      </c>
      <c r="Y225" s="1">
        <v>90</v>
      </c>
      <c r="Z225" s="1">
        <v>63</v>
      </c>
      <c r="AA225" s="1">
        <v>74</v>
      </c>
      <c r="AB225" s="1" t="b">
        <v>0</v>
      </c>
      <c r="AD225" s="1" t="b">
        <v>0</v>
      </c>
      <c r="AF225" s="1" t="s">
        <v>77</v>
      </c>
      <c r="AG225" s="1" t="s">
        <v>69</v>
      </c>
      <c r="AH225" s="1">
        <v>2</v>
      </c>
      <c r="AI225" s="1" t="s">
        <v>165</v>
      </c>
    </row>
    <row r="226" spans="1:35" ht="12.5" hidden="1" x14ac:dyDescent="0.25">
      <c r="A226" s="1">
        <v>222</v>
      </c>
      <c r="B226" s="1" t="s">
        <v>756</v>
      </c>
      <c r="C226" s="1" t="s">
        <v>757</v>
      </c>
      <c r="D226" s="1" t="s">
        <v>37</v>
      </c>
      <c r="E226" s="1" t="s">
        <v>62</v>
      </c>
      <c r="F226" s="1" t="s">
        <v>74</v>
      </c>
      <c r="G226" s="1" t="s">
        <v>64</v>
      </c>
      <c r="H226" s="1" t="s">
        <v>41</v>
      </c>
      <c r="I226" s="1" t="s">
        <v>82</v>
      </c>
      <c r="J226" s="1">
        <v>3.7</v>
      </c>
      <c r="K226" s="1" t="s">
        <v>122</v>
      </c>
      <c r="L226" s="1" t="s">
        <v>44</v>
      </c>
      <c r="M226" s="1" t="s">
        <v>56</v>
      </c>
      <c r="N226" s="1" t="s">
        <v>92</v>
      </c>
      <c r="O226" s="2">
        <v>45666</v>
      </c>
      <c r="P226" s="2">
        <v>45675</v>
      </c>
      <c r="Q226" s="1" t="b">
        <v>1</v>
      </c>
      <c r="R226" s="1">
        <v>7</v>
      </c>
      <c r="S226" s="1" t="b">
        <v>1</v>
      </c>
      <c r="T226" s="2">
        <v>45676</v>
      </c>
      <c r="U226" s="1" t="b">
        <v>1</v>
      </c>
      <c r="V226" s="2">
        <v>45685</v>
      </c>
      <c r="W226" s="1" t="b">
        <v>1</v>
      </c>
      <c r="X226" s="2">
        <v>45695</v>
      </c>
      <c r="Y226" s="1">
        <v>53</v>
      </c>
      <c r="Z226" s="1">
        <v>88</v>
      </c>
      <c r="AA226" s="1">
        <v>66</v>
      </c>
      <c r="AB226" s="1" t="b">
        <v>0</v>
      </c>
      <c r="AD226" s="1" t="b">
        <v>0</v>
      </c>
      <c r="AF226" s="1" t="s">
        <v>47</v>
      </c>
      <c r="AG226" s="1" t="s">
        <v>287</v>
      </c>
      <c r="AH226" s="1">
        <v>29</v>
      </c>
      <c r="AI226" s="1" t="s">
        <v>165</v>
      </c>
    </row>
    <row r="227" spans="1:35" ht="12.5" hidden="1" x14ac:dyDescent="0.25">
      <c r="A227" s="1">
        <v>223</v>
      </c>
      <c r="B227" s="1" t="s">
        <v>758</v>
      </c>
      <c r="C227" s="1" t="s">
        <v>759</v>
      </c>
      <c r="D227" s="1" t="s">
        <v>508</v>
      </c>
      <c r="E227" s="1" t="s">
        <v>102</v>
      </c>
      <c r="F227" s="1" t="s">
        <v>63</v>
      </c>
      <c r="G227" s="1" t="s">
        <v>75</v>
      </c>
      <c r="H227" s="1" t="s">
        <v>41</v>
      </c>
      <c r="I227" s="1" t="s">
        <v>53</v>
      </c>
      <c r="J227" s="1">
        <v>4.5999999999999996</v>
      </c>
      <c r="K227" s="1" t="s">
        <v>412</v>
      </c>
      <c r="L227" s="1" t="s">
        <v>67</v>
      </c>
      <c r="M227" s="1" t="s">
        <v>56</v>
      </c>
      <c r="N227" s="1" t="s">
        <v>46</v>
      </c>
      <c r="O227" s="2">
        <v>45671</v>
      </c>
      <c r="P227" s="2">
        <v>45671</v>
      </c>
      <c r="Q227" s="1" t="b">
        <v>1</v>
      </c>
      <c r="R227" s="1">
        <v>2</v>
      </c>
      <c r="S227" s="1" t="b">
        <v>1</v>
      </c>
      <c r="T227" s="2">
        <v>45679</v>
      </c>
      <c r="U227" s="1" t="b">
        <v>0</v>
      </c>
      <c r="W227" s="1" t="b">
        <v>0</v>
      </c>
      <c r="Y227" s="1">
        <v>79</v>
      </c>
      <c r="Z227" s="1">
        <v>86</v>
      </c>
      <c r="AA227" s="1">
        <v>92</v>
      </c>
      <c r="AB227" s="1" t="b">
        <v>0</v>
      </c>
      <c r="AD227" s="1" t="b">
        <v>0</v>
      </c>
      <c r="AF227" s="1" t="s">
        <v>151</v>
      </c>
      <c r="AH227" s="1">
        <v>8</v>
      </c>
      <c r="AI227" s="1" t="s">
        <v>118</v>
      </c>
    </row>
    <row r="228" spans="1:35" ht="12.5" hidden="1" x14ac:dyDescent="0.25">
      <c r="A228" s="1">
        <v>224</v>
      </c>
      <c r="B228" s="1" t="s">
        <v>760</v>
      </c>
      <c r="C228" s="1" t="s">
        <v>761</v>
      </c>
      <c r="D228" s="1" t="s">
        <v>171</v>
      </c>
      <c r="E228" s="1" t="s">
        <v>62</v>
      </c>
      <c r="F228" s="1" t="s">
        <v>39</v>
      </c>
      <c r="G228" s="1" t="s">
        <v>112</v>
      </c>
      <c r="H228" s="1" t="s">
        <v>88</v>
      </c>
      <c r="I228" s="1" t="s">
        <v>82</v>
      </c>
      <c r="J228" s="1">
        <v>2.5</v>
      </c>
      <c r="K228" s="1" t="s">
        <v>603</v>
      </c>
      <c r="L228" s="1" t="s">
        <v>114</v>
      </c>
      <c r="M228" s="1" t="s">
        <v>115</v>
      </c>
      <c r="N228" s="1" t="s">
        <v>116</v>
      </c>
      <c r="O228" s="2">
        <v>45772</v>
      </c>
      <c r="P228" s="2">
        <v>45774</v>
      </c>
      <c r="Q228" s="1" t="b">
        <v>1</v>
      </c>
      <c r="R228" s="1">
        <v>9</v>
      </c>
      <c r="S228" s="1" t="b">
        <v>1</v>
      </c>
      <c r="T228" s="2">
        <v>45778</v>
      </c>
      <c r="U228" s="1" t="b">
        <v>1</v>
      </c>
      <c r="V228" s="2">
        <v>45784</v>
      </c>
      <c r="W228" s="1" t="b">
        <v>1</v>
      </c>
      <c r="X228" s="2">
        <v>45786</v>
      </c>
      <c r="Y228" s="1">
        <v>80</v>
      </c>
      <c r="Z228" s="1">
        <v>70</v>
      </c>
      <c r="AA228" s="1">
        <v>65</v>
      </c>
      <c r="AB228" s="1" t="b">
        <v>0</v>
      </c>
      <c r="AD228" s="1" t="b">
        <v>0</v>
      </c>
      <c r="AF228" s="1" t="s">
        <v>47</v>
      </c>
      <c r="AG228" s="1" t="s">
        <v>287</v>
      </c>
      <c r="AH228" s="1">
        <v>14</v>
      </c>
      <c r="AI228" s="1" t="s">
        <v>78</v>
      </c>
    </row>
    <row r="229" spans="1:35" ht="12.5" x14ac:dyDescent="0.25">
      <c r="A229" s="1">
        <v>225</v>
      </c>
      <c r="B229" s="1" t="s">
        <v>762</v>
      </c>
      <c r="C229" s="1" t="s">
        <v>763</v>
      </c>
      <c r="D229" s="1" t="s">
        <v>521</v>
      </c>
      <c r="E229" s="1" t="s">
        <v>102</v>
      </c>
      <c r="F229" s="1" t="s">
        <v>74</v>
      </c>
      <c r="G229" s="1" t="s">
        <v>112</v>
      </c>
      <c r="H229" s="1" t="s">
        <v>41</v>
      </c>
      <c r="I229" s="1" t="s">
        <v>53</v>
      </c>
      <c r="J229" s="1">
        <v>4.4000000000000004</v>
      </c>
      <c r="K229" s="1" t="s">
        <v>764</v>
      </c>
      <c r="L229" s="1" t="s">
        <v>44</v>
      </c>
      <c r="M229" s="1" t="s">
        <v>146</v>
      </c>
      <c r="N229" s="1" t="s">
        <v>116</v>
      </c>
      <c r="O229" s="2">
        <v>45681</v>
      </c>
      <c r="P229" s="2">
        <v>45684</v>
      </c>
      <c r="Q229" s="1" t="b">
        <v>0</v>
      </c>
      <c r="S229" s="1" t="b">
        <v>0</v>
      </c>
      <c r="U229" s="1" t="b">
        <v>0</v>
      </c>
      <c r="W229" s="1" t="b">
        <v>0</v>
      </c>
      <c r="Y229" s="1">
        <v>79</v>
      </c>
      <c r="Z229" s="1">
        <v>70</v>
      </c>
      <c r="AA229" s="1">
        <v>61</v>
      </c>
      <c r="AB229" s="1" t="b">
        <v>0</v>
      </c>
      <c r="AD229" s="1" t="b">
        <v>0</v>
      </c>
      <c r="AF229" s="1" t="s">
        <v>77</v>
      </c>
      <c r="AG229" s="1" t="s">
        <v>69</v>
      </c>
      <c r="AH229" s="1">
        <v>3</v>
      </c>
      <c r="AI229" s="1" t="s">
        <v>48</v>
      </c>
    </row>
    <row r="230" spans="1:35" ht="12.5" hidden="1" x14ac:dyDescent="0.25">
      <c r="A230" s="1">
        <v>226</v>
      </c>
      <c r="B230" s="1" t="s">
        <v>765</v>
      </c>
      <c r="C230" s="1" t="s">
        <v>766</v>
      </c>
      <c r="D230" s="1" t="s">
        <v>633</v>
      </c>
      <c r="E230" s="1" t="s">
        <v>38</v>
      </c>
      <c r="F230" s="1" t="s">
        <v>74</v>
      </c>
      <c r="G230" s="1" t="s">
        <v>64</v>
      </c>
      <c r="H230" s="1" t="s">
        <v>88</v>
      </c>
      <c r="I230" s="1" t="s">
        <v>103</v>
      </c>
      <c r="J230" s="1">
        <v>10.6</v>
      </c>
      <c r="K230" s="1" t="s">
        <v>693</v>
      </c>
      <c r="L230" s="1" t="s">
        <v>67</v>
      </c>
      <c r="M230" s="1" t="s">
        <v>45</v>
      </c>
      <c r="N230" s="1" t="s">
        <v>92</v>
      </c>
      <c r="O230" s="2">
        <v>45774</v>
      </c>
      <c r="P230" s="2">
        <v>45777</v>
      </c>
      <c r="Q230" s="1" t="b">
        <v>1</v>
      </c>
      <c r="R230" s="1">
        <v>0</v>
      </c>
      <c r="S230" s="1" t="b">
        <v>1</v>
      </c>
      <c r="T230" s="2">
        <v>45786</v>
      </c>
      <c r="U230" s="1" t="b">
        <v>1</v>
      </c>
      <c r="V230" s="2">
        <v>45797</v>
      </c>
      <c r="W230" s="1" t="b">
        <v>1</v>
      </c>
      <c r="X230" s="2">
        <v>45803</v>
      </c>
      <c r="Y230" s="1">
        <v>74</v>
      </c>
      <c r="Z230" s="1">
        <v>64</v>
      </c>
      <c r="AA230" s="1">
        <v>56</v>
      </c>
      <c r="AB230" s="1" t="b">
        <v>0</v>
      </c>
      <c r="AD230" s="1" t="b">
        <v>0</v>
      </c>
      <c r="AF230" s="1" t="s">
        <v>47</v>
      </c>
      <c r="AH230" s="1">
        <v>29</v>
      </c>
      <c r="AI230" s="1" t="s">
        <v>135</v>
      </c>
    </row>
    <row r="231" spans="1:35" ht="12.5" hidden="1" x14ac:dyDescent="0.25">
      <c r="A231" s="1">
        <v>227</v>
      </c>
      <c r="B231" s="1" t="s">
        <v>767</v>
      </c>
      <c r="C231" s="1" t="s">
        <v>768</v>
      </c>
      <c r="D231" s="1" t="s">
        <v>335</v>
      </c>
      <c r="E231" s="1" t="s">
        <v>38</v>
      </c>
      <c r="F231" s="1" t="s">
        <v>63</v>
      </c>
      <c r="G231" s="1" t="s">
        <v>97</v>
      </c>
      <c r="H231" s="1" t="s">
        <v>65</v>
      </c>
      <c r="I231" s="1" t="s">
        <v>42</v>
      </c>
      <c r="J231" s="1">
        <v>9.5</v>
      </c>
      <c r="K231" s="1" t="s">
        <v>769</v>
      </c>
      <c r="L231" s="1" t="s">
        <v>90</v>
      </c>
      <c r="M231" s="1" t="s">
        <v>115</v>
      </c>
      <c r="N231" s="1" t="s">
        <v>46</v>
      </c>
      <c r="O231" s="2">
        <v>45735</v>
      </c>
      <c r="P231" s="2">
        <v>45740</v>
      </c>
      <c r="Q231" s="1" t="b">
        <v>1</v>
      </c>
      <c r="R231" s="1">
        <v>5</v>
      </c>
      <c r="S231" s="1" t="b">
        <v>1</v>
      </c>
      <c r="T231" s="2">
        <v>45742</v>
      </c>
      <c r="U231" s="1" t="b">
        <v>1</v>
      </c>
      <c r="V231" s="2">
        <v>45744</v>
      </c>
      <c r="W231" s="1" t="b">
        <v>1</v>
      </c>
      <c r="X231" s="2">
        <v>45748</v>
      </c>
      <c r="Y231" s="1">
        <v>88</v>
      </c>
      <c r="Z231" s="1">
        <v>73</v>
      </c>
      <c r="AA231" s="1">
        <v>76</v>
      </c>
      <c r="AB231" s="1" t="b">
        <v>1</v>
      </c>
      <c r="AC231" s="2">
        <v>45752</v>
      </c>
      <c r="AD231" s="1" t="b">
        <v>1</v>
      </c>
      <c r="AE231" s="2">
        <v>45764</v>
      </c>
      <c r="AF231" s="1" t="s">
        <v>134</v>
      </c>
      <c r="AH231" s="1">
        <v>29</v>
      </c>
      <c r="AI231" s="1" t="s">
        <v>48</v>
      </c>
    </row>
    <row r="232" spans="1:35" ht="12.5" x14ac:dyDescent="0.25">
      <c r="A232" s="1">
        <v>228</v>
      </c>
      <c r="B232" s="1" t="s">
        <v>770</v>
      </c>
      <c r="C232" s="1" t="s">
        <v>771</v>
      </c>
      <c r="D232" s="1" t="s">
        <v>638</v>
      </c>
      <c r="E232" s="1" t="s">
        <v>62</v>
      </c>
      <c r="F232" s="1" t="s">
        <v>63</v>
      </c>
      <c r="G232" s="1" t="s">
        <v>64</v>
      </c>
      <c r="H232" s="1" t="s">
        <v>88</v>
      </c>
      <c r="I232" s="1" t="s">
        <v>42</v>
      </c>
      <c r="J232" s="1">
        <v>7.5</v>
      </c>
      <c r="K232" s="1" t="s">
        <v>624</v>
      </c>
      <c r="L232" s="1" t="s">
        <v>114</v>
      </c>
      <c r="M232" s="1" t="s">
        <v>123</v>
      </c>
      <c r="N232" s="1" t="s">
        <v>92</v>
      </c>
      <c r="O232" s="2">
        <v>45695</v>
      </c>
      <c r="P232" s="2">
        <v>45695</v>
      </c>
      <c r="Q232" s="1" t="b">
        <v>1</v>
      </c>
      <c r="R232" s="1">
        <v>6</v>
      </c>
      <c r="S232" s="1" t="b">
        <v>1</v>
      </c>
      <c r="T232" s="2">
        <v>45698</v>
      </c>
      <c r="U232" s="1" t="b">
        <v>1</v>
      </c>
      <c r="V232" s="2">
        <v>45711</v>
      </c>
      <c r="W232" s="1" t="b">
        <v>1</v>
      </c>
      <c r="X232" s="2">
        <v>45712</v>
      </c>
      <c r="Y232" s="1">
        <v>63</v>
      </c>
      <c r="Z232" s="1">
        <v>60</v>
      </c>
      <c r="AA232" s="1">
        <v>53</v>
      </c>
      <c r="AB232" s="1" t="b">
        <v>0</v>
      </c>
      <c r="AD232" s="1" t="b">
        <v>0</v>
      </c>
      <c r="AF232" s="1" t="s">
        <v>47</v>
      </c>
      <c r="AG232" s="1" t="s">
        <v>69</v>
      </c>
      <c r="AH232" s="1">
        <v>17</v>
      </c>
      <c r="AI232" s="1" t="s">
        <v>48</v>
      </c>
    </row>
    <row r="233" spans="1:35" ht="12.5" hidden="1" x14ac:dyDescent="0.25">
      <c r="A233" s="1">
        <v>229</v>
      </c>
      <c r="B233" s="1" t="s">
        <v>772</v>
      </c>
      <c r="C233" s="1" t="s">
        <v>773</v>
      </c>
      <c r="D233" s="1" t="s">
        <v>367</v>
      </c>
      <c r="E233" s="1" t="s">
        <v>102</v>
      </c>
      <c r="F233" s="1" t="s">
        <v>111</v>
      </c>
      <c r="G233" s="1" t="s">
        <v>139</v>
      </c>
      <c r="H233" s="1" t="s">
        <v>65</v>
      </c>
      <c r="I233" s="1" t="s">
        <v>42</v>
      </c>
      <c r="J233" s="1">
        <v>9</v>
      </c>
      <c r="K233" s="1" t="s">
        <v>150</v>
      </c>
      <c r="L233" s="1" t="s">
        <v>90</v>
      </c>
      <c r="M233" s="1" t="s">
        <v>115</v>
      </c>
      <c r="N233" s="1" t="s">
        <v>116</v>
      </c>
      <c r="O233" s="2">
        <v>45791</v>
      </c>
      <c r="P233" s="2">
        <v>45794</v>
      </c>
      <c r="Q233" s="1" t="b">
        <v>1</v>
      </c>
      <c r="R233" s="1">
        <v>6</v>
      </c>
      <c r="S233" s="1" t="b">
        <v>1</v>
      </c>
      <c r="T233" s="2">
        <v>45802</v>
      </c>
      <c r="U233" s="1" t="b">
        <v>1</v>
      </c>
      <c r="V233" s="2">
        <v>45811</v>
      </c>
      <c r="W233" s="1" t="b">
        <v>1</v>
      </c>
      <c r="X233" s="2">
        <v>45814</v>
      </c>
      <c r="Y233" s="1">
        <v>86</v>
      </c>
      <c r="Z233" s="1">
        <v>77</v>
      </c>
      <c r="AA233" s="1">
        <v>69</v>
      </c>
      <c r="AB233" s="1" t="b">
        <v>1</v>
      </c>
      <c r="AC233" s="2">
        <v>45819</v>
      </c>
      <c r="AD233" s="1" t="b">
        <v>1</v>
      </c>
      <c r="AE233" s="2">
        <v>45828</v>
      </c>
      <c r="AF233" s="1" t="s">
        <v>134</v>
      </c>
      <c r="AH233" s="1">
        <v>37</v>
      </c>
      <c r="AI233" s="1" t="s">
        <v>93</v>
      </c>
    </row>
    <row r="234" spans="1:35" ht="12.5" x14ac:dyDescent="0.25">
      <c r="A234" s="1">
        <v>230</v>
      </c>
      <c r="B234" s="1" t="s">
        <v>774</v>
      </c>
      <c r="C234" s="1" t="s">
        <v>775</v>
      </c>
      <c r="D234" s="1" t="s">
        <v>311</v>
      </c>
      <c r="E234" s="1" t="s">
        <v>102</v>
      </c>
      <c r="F234" s="1" t="s">
        <v>63</v>
      </c>
      <c r="G234" s="1" t="s">
        <v>40</v>
      </c>
      <c r="H234" s="1" t="s">
        <v>65</v>
      </c>
      <c r="I234" s="1" t="s">
        <v>53</v>
      </c>
      <c r="J234" s="1">
        <v>6.3</v>
      </c>
      <c r="K234" s="1" t="s">
        <v>54</v>
      </c>
      <c r="L234" s="1" t="s">
        <v>114</v>
      </c>
      <c r="M234" s="1" t="s">
        <v>123</v>
      </c>
      <c r="N234" s="1" t="s">
        <v>92</v>
      </c>
      <c r="O234" s="2">
        <v>45713</v>
      </c>
      <c r="P234" s="2">
        <v>45722</v>
      </c>
      <c r="Q234" s="1" t="b">
        <v>0</v>
      </c>
      <c r="S234" s="1" t="b">
        <v>0</v>
      </c>
      <c r="U234" s="1" t="b">
        <v>0</v>
      </c>
      <c r="W234" s="1" t="b">
        <v>0</v>
      </c>
      <c r="Y234" s="1">
        <v>66</v>
      </c>
      <c r="Z234" s="1">
        <v>63</v>
      </c>
      <c r="AA234" s="1">
        <v>67</v>
      </c>
      <c r="AB234" s="1" t="b">
        <v>0</v>
      </c>
      <c r="AD234" s="1" t="b">
        <v>0</v>
      </c>
      <c r="AF234" s="1" t="s">
        <v>77</v>
      </c>
      <c r="AG234" s="1" t="s">
        <v>69</v>
      </c>
      <c r="AH234" s="1">
        <v>9</v>
      </c>
      <c r="AI234" s="1" t="s">
        <v>135</v>
      </c>
    </row>
    <row r="235" spans="1:35" ht="12.5" hidden="1" x14ac:dyDescent="0.25">
      <c r="A235" s="1">
        <v>231</v>
      </c>
      <c r="B235" s="1" t="s">
        <v>776</v>
      </c>
      <c r="C235" s="1" t="s">
        <v>777</v>
      </c>
      <c r="D235" s="1" t="s">
        <v>714</v>
      </c>
      <c r="E235" s="1" t="s">
        <v>62</v>
      </c>
      <c r="F235" s="1" t="s">
        <v>111</v>
      </c>
      <c r="G235" s="1" t="s">
        <v>139</v>
      </c>
      <c r="H235" s="1" t="s">
        <v>65</v>
      </c>
      <c r="I235" s="1" t="s">
        <v>82</v>
      </c>
      <c r="J235" s="1">
        <v>2.6</v>
      </c>
      <c r="K235" s="1" t="s">
        <v>778</v>
      </c>
      <c r="L235" s="1" t="s">
        <v>114</v>
      </c>
      <c r="M235" s="1" t="s">
        <v>68</v>
      </c>
      <c r="N235" s="1" t="s">
        <v>46</v>
      </c>
      <c r="O235" s="2">
        <v>45726</v>
      </c>
      <c r="P235" s="2">
        <v>45729</v>
      </c>
      <c r="Q235" s="1" t="b">
        <v>1</v>
      </c>
      <c r="R235" s="1">
        <v>0</v>
      </c>
      <c r="S235" s="1" t="b">
        <v>1</v>
      </c>
      <c r="T235" s="2">
        <v>45731</v>
      </c>
      <c r="U235" s="1" t="b">
        <v>1</v>
      </c>
      <c r="V235" s="2">
        <v>45741</v>
      </c>
      <c r="W235" s="1" t="b">
        <v>1</v>
      </c>
      <c r="X235" s="2">
        <v>45745</v>
      </c>
      <c r="Y235" s="1">
        <v>81</v>
      </c>
      <c r="Z235" s="1">
        <v>68</v>
      </c>
      <c r="AA235" s="1">
        <v>60</v>
      </c>
      <c r="AB235" s="1" t="b">
        <v>0</v>
      </c>
      <c r="AD235" s="1" t="b">
        <v>0</v>
      </c>
      <c r="AF235" s="1" t="s">
        <v>47</v>
      </c>
      <c r="AG235" s="1" t="s">
        <v>124</v>
      </c>
      <c r="AH235" s="1">
        <v>19</v>
      </c>
      <c r="AI235" s="1" t="s">
        <v>165</v>
      </c>
    </row>
    <row r="236" spans="1:35" ht="12.5" hidden="1" x14ac:dyDescent="0.25">
      <c r="A236" s="1">
        <v>232</v>
      </c>
      <c r="B236" s="1" t="s">
        <v>779</v>
      </c>
      <c r="C236" s="1" t="s">
        <v>780</v>
      </c>
      <c r="D236" s="1" t="s">
        <v>359</v>
      </c>
      <c r="E236" s="1" t="s">
        <v>102</v>
      </c>
      <c r="F236" s="1" t="s">
        <v>74</v>
      </c>
      <c r="G236" s="1" t="s">
        <v>139</v>
      </c>
      <c r="H236" s="1" t="s">
        <v>88</v>
      </c>
      <c r="I236" s="1" t="s">
        <v>42</v>
      </c>
      <c r="J236" s="1">
        <v>6.1</v>
      </c>
      <c r="K236" s="1" t="s">
        <v>561</v>
      </c>
      <c r="L236" s="1" t="s">
        <v>67</v>
      </c>
      <c r="M236" s="1" t="s">
        <v>146</v>
      </c>
      <c r="N236" s="1" t="s">
        <v>92</v>
      </c>
      <c r="O236" s="2">
        <v>45802</v>
      </c>
      <c r="P236" s="2">
        <v>45802</v>
      </c>
      <c r="Q236" s="1" t="b">
        <v>1</v>
      </c>
      <c r="R236" s="1">
        <v>11</v>
      </c>
      <c r="S236" s="1" t="b">
        <v>1</v>
      </c>
      <c r="T236" s="2">
        <v>45806</v>
      </c>
      <c r="U236" s="1" t="b">
        <v>1</v>
      </c>
      <c r="V236" s="2">
        <v>45819</v>
      </c>
      <c r="W236" s="1" t="b">
        <v>1</v>
      </c>
      <c r="X236" s="2">
        <v>45828</v>
      </c>
      <c r="Y236" s="1">
        <v>54</v>
      </c>
      <c r="Z236" s="1">
        <v>79</v>
      </c>
      <c r="AA236" s="1">
        <v>77</v>
      </c>
      <c r="AB236" s="1" t="b">
        <v>0</v>
      </c>
      <c r="AD236" s="1" t="b">
        <v>0</v>
      </c>
      <c r="AF236" s="1" t="s">
        <v>47</v>
      </c>
      <c r="AG236" s="1" t="s">
        <v>124</v>
      </c>
      <c r="AH236" s="1">
        <v>26</v>
      </c>
      <c r="AI236" s="1" t="s">
        <v>70</v>
      </c>
    </row>
    <row r="237" spans="1:35" ht="12.5" x14ac:dyDescent="0.25">
      <c r="A237" s="1">
        <v>233</v>
      </c>
      <c r="B237" s="1" t="s">
        <v>781</v>
      </c>
      <c r="C237" s="1" t="s">
        <v>782</v>
      </c>
      <c r="D237" s="1" t="s">
        <v>305</v>
      </c>
      <c r="E237" s="1" t="s">
        <v>38</v>
      </c>
      <c r="F237" s="1" t="s">
        <v>39</v>
      </c>
      <c r="G237" s="1" t="s">
        <v>139</v>
      </c>
      <c r="H237" s="1" t="s">
        <v>88</v>
      </c>
      <c r="I237" s="1" t="s">
        <v>103</v>
      </c>
      <c r="J237" s="1">
        <v>7.3</v>
      </c>
      <c r="K237" s="1" t="s">
        <v>459</v>
      </c>
      <c r="L237" s="1" t="s">
        <v>67</v>
      </c>
      <c r="M237" s="1" t="s">
        <v>115</v>
      </c>
      <c r="N237" s="1" t="s">
        <v>92</v>
      </c>
      <c r="O237" s="2">
        <v>45802</v>
      </c>
      <c r="P237" s="2">
        <v>45806</v>
      </c>
      <c r="Q237" s="1" t="b">
        <v>0</v>
      </c>
      <c r="S237" s="1" t="b">
        <v>0</v>
      </c>
      <c r="U237" s="1" t="b">
        <v>0</v>
      </c>
      <c r="W237" s="1" t="b">
        <v>0</v>
      </c>
      <c r="Y237" s="1">
        <v>74</v>
      </c>
      <c r="Z237" s="1">
        <v>78</v>
      </c>
      <c r="AA237" s="1">
        <v>88</v>
      </c>
      <c r="AB237" s="1" t="b">
        <v>0</v>
      </c>
      <c r="AD237" s="1" t="b">
        <v>0</v>
      </c>
      <c r="AF237" s="1" t="s">
        <v>77</v>
      </c>
      <c r="AG237" s="1" t="s">
        <v>69</v>
      </c>
      <c r="AH237" s="1">
        <v>4</v>
      </c>
      <c r="AI237" s="1" t="s">
        <v>157</v>
      </c>
    </row>
    <row r="238" spans="1:35" ht="12.5" hidden="1" x14ac:dyDescent="0.25">
      <c r="A238" s="1">
        <v>234</v>
      </c>
      <c r="B238" s="1" t="s">
        <v>783</v>
      </c>
      <c r="C238" s="1" t="s">
        <v>784</v>
      </c>
      <c r="D238" s="1" t="s">
        <v>633</v>
      </c>
      <c r="E238" s="1" t="s">
        <v>62</v>
      </c>
      <c r="F238" s="1" t="s">
        <v>39</v>
      </c>
      <c r="G238" s="1" t="s">
        <v>97</v>
      </c>
      <c r="H238" s="1" t="s">
        <v>41</v>
      </c>
      <c r="I238" s="1" t="s">
        <v>53</v>
      </c>
      <c r="J238" s="1">
        <v>4.9000000000000004</v>
      </c>
      <c r="K238" s="1" t="s">
        <v>785</v>
      </c>
      <c r="L238" s="1" t="s">
        <v>141</v>
      </c>
      <c r="M238" s="1" t="s">
        <v>123</v>
      </c>
      <c r="N238" s="1" t="s">
        <v>46</v>
      </c>
      <c r="O238" s="2">
        <v>45732</v>
      </c>
      <c r="P238" s="2">
        <v>45737</v>
      </c>
      <c r="Q238" s="1" t="b">
        <v>1</v>
      </c>
      <c r="R238" s="1">
        <v>9</v>
      </c>
      <c r="S238" s="1" t="b">
        <v>1</v>
      </c>
      <c r="T238" s="2">
        <v>45740</v>
      </c>
      <c r="U238" s="1" t="b">
        <v>1</v>
      </c>
      <c r="V238" s="2">
        <v>45747</v>
      </c>
      <c r="W238" s="1" t="b">
        <v>0</v>
      </c>
      <c r="Y238" s="1">
        <v>71</v>
      </c>
      <c r="Z238" s="1">
        <v>73</v>
      </c>
      <c r="AA238" s="1">
        <v>80</v>
      </c>
      <c r="AB238" s="1" t="b">
        <v>0</v>
      </c>
      <c r="AD238" s="1" t="b">
        <v>0</v>
      </c>
      <c r="AF238" s="1" t="s">
        <v>105</v>
      </c>
      <c r="AG238" s="1" t="s">
        <v>207</v>
      </c>
      <c r="AH238" s="1">
        <v>15</v>
      </c>
      <c r="AI238" s="1" t="s">
        <v>157</v>
      </c>
    </row>
    <row r="239" spans="1:35" ht="12.5" hidden="1" x14ac:dyDescent="0.25">
      <c r="A239" s="1">
        <v>235</v>
      </c>
      <c r="B239" s="1" t="s">
        <v>786</v>
      </c>
      <c r="C239" s="1" t="s">
        <v>787</v>
      </c>
      <c r="D239" s="1" t="s">
        <v>245</v>
      </c>
      <c r="E239" s="1" t="s">
        <v>62</v>
      </c>
      <c r="F239" s="1" t="s">
        <v>39</v>
      </c>
      <c r="G239" s="1" t="s">
        <v>112</v>
      </c>
      <c r="H239" s="1" t="s">
        <v>88</v>
      </c>
      <c r="I239" s="1" t="s">
        <v>42</v>
      </c>
      <c r="J239" s="1">
        <v>7.4</v>
      </c>
      <c r="K239" s="1" t="s">
        <v>788</v>
      </c>
      <c r="L239" s="1" t="s">
        <v>114</v>
      </c>
      <c r="M239" s="1" t="s">
        <v>56</v>
      </c>
      <c r="N239" s="1" t="s">
        <v>92</v>
      </c>
      <c r="O239" s="2">
        <v>45710</v>
      </c>
      <c r="P239" s="2">
        <v>45710</v>
      </c>
      <c r="Q239" s="1" t="b">
        <v>1</v>
      </c>
      <c r="R239" s="1">
        <v>9</v>
      </c>
      <c r="S239" s="1" t="b">
        <v>1</v>
      </c>
      <c r="T239" s="2">
        <v>45714</v>
      </c>
      <c r="U239" s="1" t="b">
        <v>1</v>
      </c>
      <c r="V239" s="2">
        <v>45719</v>
      </c>
      <c r="W239" s="1" t="b">
        <v>1</v>
      </c>
      <c r="X239" s="2">
        <v>45727</v>
      </c>
      <c r="Y239" s="1">
        <v>63</v>
      </c>
      <c r="Z239" s="1">
        <v>94</v>
      </c>
      <c r="AA239" s="1">
        <v>78</v>
      </c>
      <c r="AB239" s="1" t="b">
        <v>0</v>
      </c>
      <c r="AD239" s="1" t="b">
        <v>0</v>
      </c>
      <c r="AF239" s="1" t="s">
        <v>47</v>
      </c>
      <c r="AG239" s="1" t="s">
        <v>152</v>
      </c>
      <c r="AH239" s="1">
        <v>17</v>
      </c>
      <c r="AI239" s="1" t="s">
        <v>157</v>
      </c>
    </row>
    <row r="240" spans="1:35" ht="12.5" x14ac:dyDescent="0.25">
      <c r="A240" s="1">
        <v>236</v>
      </c>
      <c r="B240" s="1" t="s">
        <v>789</v>
      </c>
      <c r="C240" s="1" t="s">
        <v>790</v>
      </c>
      <c r="D240" s="1" t="s">
        <v>149</v>
      </c>
      <c r="E240" s="1" t="s">
        <v>62</v>
      </c>
      <c r="F240" s="1" t="s">
        <v>111</v>
      </c>
      <c r="G240" s="1" t="s">
        <v>139</v>
      </c>
      <c r="H240" s="1" t="s">
        <v>88</v>
      </c>
      <c r="I240" s="1" t="s">
        <v>42</v>
      </c>
      <c r="J240" s="1">
        <v>7.2</v>
      </c>
      <c r="K240" s="1" t="s">
        <v>791</v>
      </c>
      <c r="L240" s="1" t="s">
        <v>141</v>
      </c>
      <c r="M240" s="1" t="s">
        <v>91</v>
      </c>
      <c r="N240" s="1" t="s">
        <v>116</v>
      </c>
      <c r="O240" s="2">
        <v>45678</v>
      </c>
      <c r="P240" s="2">
        <v>45678</v>
      </c>
      <c r="Q240" s="1" t="b">
        <v>0</v>
      </c>
      <c r="S240" s="1" t="b">
        <v>0</v>
      </c>
      <c r="U240" s="1" t="b">
        <v>0</v>
      </c>
      <c r="W240" s="1" t="b">
        <v>0</v>
      </c>
      <c r="Y240" s="1">
        <v>100</v>
      </c>
      <c r="Z240" s="1">
        <v>81</v>
      </c>
      <c r="AA240" s="1">
        <v>75</v>
      </c>
      <c r="AB240" s="1" t="b">
        <v>0</v>
      </c>
      <c r="AD240" s="1" t="b">
        <v>0</v>
      </c>
      <c r="AF240" s="1" t="s">
        <v>77</v>
      </c>
      <c r="AG240" s="1" t="s">
        <v>69</v>
      </c>
      <c r="AH240" s="1">
        <v>0</v>
      </c>
      <c r="AI240" s="1" t="s">
        <v>157</v>
      </c>
    </row>
    <row r="241" spans="1:35" ht="12.5" hidden="1" x14ac:dyDescent="0.25">
      <c r="A241" s="1">
        <v>237</v>
      </c>
      <c r="B241" s="1" t="s">
        <v>792</v>
      </c>
      <c r="C241" s="1" t="s">
        <v>793</v>
      </c>
      <c r="D241" s="1" t="s">
        <v>505</v>
      </c>
      <c r="E241" s="1" t="s">
        <v>52</v>
      </c>
      <c r="F241" s="1" t="s">
        <v>39</v>
      </c>
      <c r="G241" s="1" t="s">
        <v>64</v>
      </c>
      <c r="H241" s="1" t="s">
        <v>88</v>
      </c>
      <c r="I241" s="1" t="s">
        <v>42</v>
      </c>
      <c r="J241" s="1">
        <v>8.5</v>
      </c>
      <c r="K241" s="1" t="s">
        <v>794</v>
      </c>
      <c r="L241" s="1" t="s">
        <v>55</v>
      </c>
      <c r="M241" s="1" t="s">
        <v>129</v>
      </c>
      <c r="N241" s="1" t="s">
        <v>46</v>
      </c>
      <c r="O241" s="2">
        <v>45664</v>
      </c>
      <c r="P241" s="2">
        <v>45668</v>
      </c>
      <c r="Q241" s="1" t="b">
        <v>1</v>
      </c>
      <c r="R241" s="1">
        <v>12</v>
      </c>
      <c r="S241" s="1" t="b">
        <v>1</v>
      </c>
      <c r="T241" s="2">
        <v>45676</v>
      </c>
      <c r="U241" s="1" t="b">
        <v>1</v>
      </c>
      <c r="V241" s="2">
        <v>45683</v>
      </c>
      <c r="W241" s="1" t="b">
        <v>1</v>
      </c>
      <c r="X241" s="2">
        <v>45693</v>
      </c>
      <c r="Y241" s="1">
        <v>84</v>
      </c>
      <c r="Z241" s="1">
        <v>84</v>
      </c>
      <c r="AA241" s="1">
        <v>83</v>
      </c>
      <c r="AB241" s="1" t="b">
        <v>1</v>
      </c>
      <c r="AC241" s="2">
        <v>45696</v>
      </c>
      <c r="AD241" s="1" t="b">
        <v>1</v>
      </c>
      <c r="AE241" s="2">
        <v>45698</v>
      </c>
      <c r="AF241" s="1" t="s">
        <v>134</v>
      </c>
      <c r="AH241" s="1">
        <v>34</v>
      </c>
      <c r="AI241" s="1" t="s">
        <v>157</v>
      </c>
    </row>
    <row r="242" spans="1:35" ht="12.5" x14ac:dyDescent="0.25">
      <c r="A242" s="1">
        <v>238</v>
      </c>
      <c r="B242" s="1" t="s">
        <v>795</v>
      </c>
      <c r="C242" s="1" t="s">
        <v>796</v>
      </c>
      <c r="D242" s="1" t="s">
        <v>335</v>
      </c>
      <c r="E242" s="1" t="s">
        <v>52</v>
      </c>
      <c r="F242" s="1" t="s">
        <v>39</v>
      </c>
      <c r="G242" s="1" t="s">
        <v>97</v>
      </c>
      <c r="H242" s="1" t="s">
        <v>88</v>
      </c>
      <c r="I242" s="1" t="s">
        <v>53</v>
      </c>
      <c r="J242" s="1">
        <v>4.7</v>
      </c>
      <c r="K242" s="1" t="s">
        <v>349</v>
      </c>
      <c r="L242" s="1" t="s">
        <v>114</v>
      </c>
      <c r="M242" s="1" t="s">
        <v>123</v>
      </c>
      <c r="N242" s="1" t="s">
        <v>92</v>
      </c>
      <c r="O242" s="2">
        <v>45749</v>
      </c>
      <c r="P242" s="2">
        <v>45751</v>
      </c>
      <c r="Q242" s="1" t="b">
        <v>1</v>
      </c>
      <c r="R242" s="1">
        <v>8</v>
      </c>
      <c r="S242" s="1" t="b">
        <v>1</v>
      </c>
      <c r="T242" s="2">
        <v>45757</v>
      </c>
      <c r="U242" s="1" t="b">
        <v>1</v>
      </c>
      <c r="V242" s="2">
        <v>45766</v>
      </c>
      <c r="W242" s="1" t="b">
        <v>1</v>
      </c>
      <c r="X242" s="2">
        <v>45767</v>
      </c>
      <c r="Y242" s="1">
        <v>60</v>
      </c>
      <c r="Z242" s="1">
        <v>74</v>
      </c>
      <c r="AA242" s="1">
        <v>66</v>
      </c>
      <c r="AB242" s="1" t="b">
        <v>0</v>
      </c>
      <c r="AD242" s="1" t="b">
        <v>0</v>
      </c>
      <c r="AF242" s="1" t="s">
        <v>47</v>
      </c>
      <c r="AG242" s="1" t="s">
        <v>69</v>
      </c>
      <c r="AH242" s="1">
        <v>18</v>
      </c>
      <c r="AI242" s="1" t="s">
        <v>157</v>
      </c>
    </row>
    <row r="243" spans="1:35" ht="12.5" hidden="1" x14ac:dyDescent="0.25">
      <c r="A243" s="1">
        <v>239</v>
      </c>
      <c r="B243" s="1" t="s">
        <v>797</v>
      </c>
      <c r="C243" s="1" t="s">
        <v>798</v>
      </c>
      <c r="D243" s="1" t="s">
        <v>613</v>
      </c>
      <c r="E243" s="1" t="s">
        <v>102</v>
      </c>
      <c r="F243" s="1" t="s">
        <v>63</v>
      </c>
      <c r="G243" s="1" t="s">
        <v>64</v>
      </c>
      <c r="H243" s="1" t="s">
        <v>88</v>
      </c>
      <c r="I243" s="1" t="s">
        <v>103</v>
      </c>
      <c r="J243" s="1">
        <v>5.4</v>
      </c>
      <c r="K243" s="1" t="s">
        <v>799</v>
      </c>
      <c r="L243" s="1" t="s">
        <v>141</v>
      </c>
      <c r="M243" s="1" t="s">
        <v>68</v>
      </c>
      <c r="N243" s="1" t="s">
        <v>116</v>
      </c>
      <c r="O243" s="2">
        <v>45732</v>
      </c>
      <c r="P243" s="2">
        <v>45734</v>
      </c>
      <c r="Q243" s="1" t="b">
        <v>1</v>
      </c>
      <c r="R243" s="1">
        <v>10</v>
      </c>
      <c r="S243" s="1" t="b">
        <v>0</v>
      </c>
      <c r="U243" s="1" t="b">
        <v>0</v>
      </c>
      <c r="W243" s="1" t="b">
        <v>0</v>
      </c>
      <c r="Y243" s="1">
        <v>86</v>
      </c>
      <c r="Z243" s="1">
        <v>79</v>
      </c>
      <c r="AA243" s="1">
        <v>71</v>
      </c>
      <c r="AB243" s="1" t="b">
        <v>0</v>
      </c>
      <c r="AD243" s="1" t="b">
        <v>0</v>
      </c>
      <c r="AF243" s="1" t="s">
        <v>57</v>
      </c>
      <c r="AH243" s="1">
        <v>2</v>
      </c>
      <c r="AI243" s="1" t="s">
        <v>58</v>
      </c>
    </row>
    <row r="244" spans="1:35" ht="12.5" hidden="1" x14ac:dyDescent="0.25">
      <c r="A244" s="1">
        <v>240</v>
      </c>
      <c r="B244" s="1" t="s">
        <v>800</v>
      </c>
      <c r="C244" s="1" t="s">
        <v>801</v>
      </c>
      <c r="D244" s="1" t="s">
        <v>218</v>
      </c>
      <c r="E244" s="1" t="s">
        <v>38</v>
      </c>
      <c r="F244" s="1" t="s">
        <v>74</v>
      </c>
      <c r="G244" s="1" t="s">
        <v>75</v>
      </c>
      <c r="H244" s="1" t="s">
        <v>41</v>
      </c>
      <c r="I244" s="1" t="s">
        <v>42</v>
      </c>
      <c r="J244" s="1">
        <v>6.5</v>
      </c>
      <c r="K244" s="1" t="s">
        <v>315</v>
      </c>
      <c r="L244" s="1" t="s">
        <v>90</v>
      </c>
      <c r="M244" s="1" t="s">
        <v>45</v>
      </c>
      <c r="N244" s="1" t="s">
        <v>116</v>
      </c>
      <c r="O244" s="2">
        <v>45695</v>
      </c>
      <c r="P244" s="2">
        <v>45696</v>
      </c>
      <c r="Q244" s="1" t="b">
        <v>1</v>
      </c>
      <c r="R244" s="1">
        <v>4</v>
      </c>
      <c r="S244" s="1" t="b">
        <v>1</v>
      </c>
      <c r="T244" s="2">
        <v>45697</v>
      </c>
      <c r="U244" s="1" t="b">
        <v>1</v>
      </c>
      <c r="V244" s="2">
        <v>45711</v>
      </c>
      <c r="W244" s="1" t="b">
        <v>1</v>
      </c>
      <c r="X244" s="2">
        <v>45714</v>
      </c>
      <c r="Y244" s="1">
        <v>80</v>
      </c>
      <c r="Z244" s="1">
        <v>82</v>
      </c>
      <c r="AA244" s="1">
        <v>100</v>
      </c>
      <c r="AB244" s="1" t="b">
        <v>1</v>
      </c>
      <c r="AC244" s="2">
        <v>45719</v>
      </c>
      <c r="AD244" s="1" t="b">
        <v>1</v>
      </c>
      <c r="AE244" s="2">
        <v>45722</v>
      </c>
      <c r="AF244" s="1" t="s">
        <v>134</v>
      </c>
      <c r="AH244" s="1">
        <v>27</v>
      </c>
      <c r="AI244" s="1" t="s">
        <v>118</v>
      </c>
    </row>
    <row r="245" spans="1:35" ht="12.5" hidden="1" x14ac:dyDescent="0.25">
      <c r="A245" s="1">
        <v>241</v>
      </c>
      <c r="B245" s="1" t="s">
        <v>802</v>
      </c>
      <c r="C245" s="1" t="s">
        <v>803</v>
      </c>
      <c r="D245" s="1" t="s">
        <v>338</v>
      </c>
      <c r="E245" s="1" t="s">
        <v>62</v>
      </c>
      <c r="F245" s="1" t="s">
        <v>111</v>
      </c>
      <c r="G245" s="1" t="s">
        <v>112</v>
      </c>
      <c r="H245" s="1" t="s">
        <v>88</v>
      </c>
      <c r="I245" s="1" t="s">
        <v>53</v>
      </c>
      <c r="J245" s="1">
        <v>5.4</v>
      </c>
      <c r="K245" s="1" t="s">
        <v>524</v>
      </c>
      <c r="L245" s="1" t="s">
        <v>90</v>
      </c>
      <c r="M245" s="1" t="s">
        <v>115</v>
      </c>
      <c r="N245" s="1" t="s">
        <v>92</v>
      </c>
      <c r="O245" s="2">
        <v>45789</v>
      </c>
      <c r="P245" s="2">
        <v>45792</v>
      </c>
      <c r="Q245" s="1" t="b">
        <v>1</v>
      </c>
      <c r="R245" s="1">
        <v>7</v>
      </c>
      <c r="S245" s="1" t="b">
        <v>1</v>
      </c>
      <c r="T245" s="2">
        <v>45800</v>
      </c>
      <c r="U245" s="1" t="b">
        <v>1</v>
      </c>
      <c r="V245" s="2">
        <v>45808</v>
      </c>
      <c r="W245" s="1" t="b">
        <v>1</v>
      </c>
      <c r="X245" s="2">
        <v>45815</v>
      </c>
      <c r="Y245" s="1">
        <v>65</v>
      </c>
      <c r="Z245" s="1">
        <v>67</v>
      </c>
      <c r="AA245" s="1">
        <v>49</v>
      </c>
      <c r="AB245" s="1" t="b">
        <v>0</v>
      </c>
      <c r="AD245" s="1" t="b">
        <v>0</v>
      </c>
      <c r="AF245" s="1" t="s">
        <v>47</v>
      </c>
      <c r="AG245" s="1" t="s">
        <v>152</v>
      </c>
      <c r="AH245" s="1">
        <v>26</v>
      </c>
      <c r="AI245" s="1" t="s">
        <v>165</v>
      </c>
    </row>
    <row r="246" spans="1:35" ht="12.5" hidden="1" x14ac:dyDescent="0.25">
      <c r="A246" s="1">
        <v>242</v>
      </c>
      <c r="B246" s="1" t="s">
        <v>804</v>
      </c>
      <c r="C246" s="1" t="s">
        <v>805</v>
      </c>
      <c r="D246" s="1" t="s">
        <v>37</v>
      </c>
      <c r="E246" s="1" t="s">
        <v>102</v>
      </c>
      <c r="F246" s="1" t="s">
        <v>74</v>
      </c>
      <c r="G246" s="1" t="s">
        <v>64</v>
      </c>
      <c r="H246" s="1" t="s">
        <v>65</v>
      </c>
      <c r="I246" s="1" t="s">
        <v>53</v>
      </c>
      <c r="J246" s="1">
        <v>6.1</v>
      </c>
      <c r="K246" s="1" t="s">
        <v>806</v>
      </c>
      <c r="L246" s="1" t="s">
        <v>55</v>
      </c>
      <c r="M246" s="1" t="s">
        <v>115</v>
      </c>
      <c r="N246" s="1" t="s">
        <v>92</v>
      </c>
      <c r="O246" s="2">
        <v>45711</v>
      </c>
      <c r="P246" s="2">
        <v>45713</v>
      </c>
      <c r="Q246" s="1" t="b">
        <v>1</v>
      </c>
      <c r="R246" s="1">
        <v>4</v>
      </c>
      <c r="S246" s="1" t="b">
        <v>1</v>
      </c>
      <c r="T246" s="2">
        <v>45721</v>
      </c>
      <c r="U246" s="1" t="b">
        <v>1</v>
      </c>
      <c r="V246" s="2">
        <v>45728</v>
      </c>
      <c r="W246" s="1" t="b">
        <v>1</v>
      </c>
      <c r="X246" s="2">
        <v>45732</v>
      </c>
      <c r="Y246" s="1">
        <v>75</v>
      </c>
      <c r="Z246" s="1">
        <v>74</v>
      </c>
      <c r="AA246" s="1">
        <v>80</v>
      </c>
      <c r="AB246" s="1" t="b">
        <v>0</v>
      </c>
      <c r="AD246" s="1" t="b">
        <v>0</v>
      </c>
      <c r="AF246" s="1" t="s">
        <v>47</v>
      </c>
      <c r="AH246" s="1">
        <v>21</v>
      </c>
      <c r="AI246" s="1" t="s">
        <v>48</v>
      </c>
    </row>
    <row r="247" spans="1:35" ht="12.5" hidden="1" x14ac:dyDescent="0.25">
      <c r="A247" s="1">
        <v>243</v>
      </c>
      <c r="B247" s="1" t="s">
        <v>807</v>
      </c>
      <c r="C247" s="1" t="s">
        <v>808</v>
      </c>
      <c r="D247" s="1" t="s">
        <v>249</v>
      </c>
      <c r="E247" s="1" t="s">
        <v>102</v>
      </c>
      <c r="F247" s="1" t="s">
        <v>63</v>
      </c>
      <c r="G247" s="1" t="s">
        <v>40</v>
      </c>
      <c r="H247" s="1" t="s">
        <v>41</v>
      </c>
      <c r="I247" s="1" t="s">
        <v>82</v>
      </c>
      <c r="J247" s="1">
        <v>0.7</v>
      </c>
      <c r="K247" s="1" t="s">
        <v>809</v>
      </c>
      <c r="L247" s="1" t="s">
        <v>55</v>
      </c>
      <c r="M247" s="1" t="s">
        <v>129</v>
      </c>
      <c r="N247" s="1" t="s">
        <v>116</v>
      </c>
      <c r="O247" s="2">
        <v>45676</v>
      </c>
      <c r="P247" s="2">
        <v>45676</v>
      </c>
      <c r="Q247" s="1" t="b">
        <v>1</v>
      </c>
      <c r="R247" s="1">
        <v>2</v>
      </c>
      <c r="S247" s="1" t="b">
        <v>0</v>
      </c>
      <c r="U247" s="1" t="b">
        <v>0</v>
      </c>
      <c r="W247" s="1" t="b">
        <v>0</v>
      </c>
      <c r="Y247" s="1">
        <v>58</v>
      </c>
      <c r="Z247" s="1">
        <v>56</v>
      </c>
      <c r="AA247" s="1">
        <v>62</v>
      </c>
      <c r="AB247" s="1" t="b">
        <v>0</v>
      </c>
      <c r="AD247" s="1" t="b">
        <v>0</v>
      </c>
      <c r="AF247" s="1" t="s">
        <v>57</v>
      </c>
      <c r="AG247" s="1" t="s">
        <v>207</v>
      </c>
      <c r="AH247" s="1">
        <v>0</v>
      </c>
      <c r="AI247" s="1" t="s">
        <v>48</v>
      </c>
    </row>
    <row r="248" spans="1:35" ht="12.5" x14ac:dyDescent="0.25">
      <c r="A248" s="1">
        <v>244</v>
      </c>
      <c r="B248" s="1" t="s">
        <v>810</v>
      </c>
      <c r="C248" s="1" t="s">
        <v>811</v>
      </c>
      <c r="D248" s="1" t="s">
        <v>497</v>
      </c>
      <c r="E248" s="1" t="s">
        <v>102</v>
      </c>
      <c r="F248" s="1" t="s">
        <v>39</v>
      </c>
      <c r="G248" s="1" t="s">
        <v>112</v>
      </c>
      <c r="H248" s="1" t="s">
        <v>65</v>
      </c>
      <c r="I248" s="1" t="s">
        <v>103</v>
      </c>
      <c r="J248" s="1">
        <v>8.8000000000000007</v>
      </c>
      <c r="K248" s="1" t="s">
        <v>454</v>
      </c>
      <c r="L248" s="1" t="s">
        <v>44</v>
      </c>
      <c r="M248" s="1" t="s">
        <v>129</v>
      </c>
      <c r="N248" s="1" t="s">
        <v>116</v>
      </c>
      <c r="O248" s="2">
        <v>45677</v>
      </c>
      <c r="P248" s="2">
        <v>45683</v>
      </c>
      <c r="Q248" s="1" t="b">
        <v>0</v>
      </c>
      <c r="S248" s="1" t="b">
        <v>0</v>
      </c>
      <c r="U248" s="1" t="b">
        <v>0</v>
      </c>
      <c r="W248" s="1" t="b">
        <v>0</v>
      </c>
      <c r="Y248" s="1">
        <v>64</v>
      </c>
      <c r="Z248" s="1">
        <v>69</v>
      </c>
      <c r="AA248" s="1">
        <v>80</v>
      </c>
      <c r="AB248" s="1" t="b">
        <v>0</v>
      </c>
      <c r="AD248" s="1" t="b">
        <v>0</v>
      </c>
      <c r="AF248" s="1" t="s">
        <v>77</v>
      </c>
      <c r="AG248" s="1" t="s">
        <v>69</v>
      </c>
      <c r="AH248" s="1">
        <v>6</v>
      </c>
      <c r="AI248" s="1" t="s">
        <v>48</v>
      </c>
    </row>
    <row r="249" spans="1:35" ht="12.5" hidden="1" x14ac:dyDescent="0.25">
      <c r="A249" s="1">
        <v>245</v>
      </c>
      <c r="B249" s="1" t="s">
        <v>812</v>
      </c>
      <c r="C249" s="1" t="s">
        <v>813</v>
      </c>
      <c r="D249" s="1" t="s">
        <v>466</v>
      </c>
      <c r="E249" s="1" t="s">
        <v>38</v>
      </c>
      <c r="F249" s="1" t="s">
        <v>63</v>
      </c>
      <c r="G249" s="1" t="s">
        <v>112</v>
      </c>
      <c r="H249" s="1" t="s">
        <v>65</v>
      </c>
      <c r="I249" s="1" t="s">
        <v>42</v>
      </c>
      <c r="J249" s="1">
        <v>8.6999999999999993</v>
      </c>
      <c r="K249" s="1" t="s">
        <v>399</v>
      </c>
      <c r="L249" s="1" t="s">
        <v>67</v>
      </c>
      <c r="M249" s="1" t="s">
        <v>68</v>
      </c>
      <c r="N249" s="1" t="s">
        <v>84</v>
      </c>
      <c r="O249" s="2">
        <v>45696</v>
      </c>
      <c r="P249" s="2">
        <v>45700</v>
      </c>
      <c r="Q249" s="1" t="b">
        <v>1</v>
      </c>
      <c r="R249" s="1">
        <v>11</v>
      </c>
      <c r="S249" s="1" t="b">
        <v>1</v>
      </c>
      <c r="T249" s="2">
        <v>45702</v>
      </c>
      <c r="U249" s="1" t="b">
        <v>0</v>
      </c>
      <c r="W249" s="1" t="b">
        <v>0</v>
      </c>
      <c r="Y249" s="1">
        <v>91</v>
      </c>
      <c r="Z249" s="1">
        <v>70</v>
      </c>
      <c r="AA249" s="1">
        <v>79</v>
      </c>
      <c r="AB249" s="1" t="b">
        <v>0</v>
      </c>
      <c r="AD249" s="1" t="b">
        <v>0</v>
      </c>
      <c r="AF249" s="1" t="s">
        <v>151</v>
      </c>
      <c r="AG249" s="1" t="s">
        <v>124</v>
      </c>
      <c r="AH249" s="1">
        <v>6</v>
      </c>
      <c r="AI249" s="1" t="s">
        <v>165</v>
      </c>
    </row>
    <row r="250" spans="1:35" ht="12.5" x14ac:dyDescent="0.25">
      <c r="A250" s="1">
        <v>246</v>
      </c>
      <c r="B250" s="1" t="s">
        <v>814</v>
      </c>
      <c r="C250" s="1" t="s">
        <v>815</v>
      </c>
      <c r="D250" s="1" t="s">
        <v>293</v>
      </c>
      <c r="E250" s="1" t="s">
        <v>102</v>
      </c>
      <c r="F250" s="1" t="s">
        <v>111</v>
      </c>
      <c r="G250" s="1" t="s">
        <v>97</v>
      </c>
      <c r="H250" s="1" t="s">
        <v>41</v>
      </c>
      <c r="I250" s="1" t="s">
        <v>42</v>
      </c>
      <c r="J250" s="1">
        <v>6.7</v>
      </c>
      <c r="K250" s="1" t="s">
        <v>665</v>
      </c>
      <c r="L250" s="1" t="s">
        <v>44</v>
      </c>
      <c r="M250" s="1" t="s">
        <v>115</v>
      </c>
      <c r="N250" s="1" t="s">
        <v>46</v>
      </c>
      <c r="O250" s="2">
        <v>45804</v>
      </c>
      <c r="P250" s="2">
        <v>45807</v>
      </c>
      <c r="Q250" s="1" t="b">
        <v>0</v>
      </c>
      <c r="S250" s="1" t="b">
        <v>0</v>
      </c>
      <c r="U250" s="1" t="b">
        <v>0</v>
      </c>
      <c r="W250" s="1" t="b">
        <v>0</v>
      </c>
      <c r="Y250" s="1">
        <v>80</v>
      </c>
      <c r="Z250" s="1">
        <v>75</v>
      </c>
      <c r="AA250" s="1">
        <v>71</v>
      </c>
      <c r="AB250" s="1" t="b">
        <v>0</v>
      </c>
      <c r="AD250" s="1" t="b">
        <v>0</v>
      </c>
      <c r="AF250" s="1" t="s">
        <v>77</v>
      </c>
      <c r="AG250" s="1" t="s">
        <v>69</v>
      </c>
      <c r="AH250" s="1">
        <v>3</v>
      </c>
      <c r="AI250" s="1" t="s">
        <v>93</v>
      </c>
    </row>
    <row r="251" spans="1:35" ht="12.5" hidden="1" x14ac:dyDescent="0.25">
      <c r="A251" s="1">
        <v>247</v>
      </c>
      <c r="B251" s="1" t="s">
        <v>816</v>
      </c>
      <c r="C251" s="1" t="s">
        <v>817</v>
      </c>
      <c r="D251" s="1" t="s">
        <v>245</v>
      </c>
      <c r="E251" s="1" t="s">
        <v>38</v>
      </c>
      <c r="F251" s="1" t="s">
        <v>74</v>
      </c>
      <c r="G251" s="1" t="s">
        <v>139</v>
      </c>
      <c r="H251" s="1" t="s">
        <v>41</v>
      </c>
      <c r="I251" s="1" t="s">
        <v>42</v>
      </c>
      <c r="J251" s="1">
        <v>4.5</v>
      </c>
      <c r="K251" s="1" t="s">
        <v>356</v>
      </c>
      <c r="L251" s="1" t="s">
        <v>90</v>
      </c>
      <c r="M251" s="1" t="s">
        <v>129</v>
      </c>
      <c r="N251" s="1" t="s">
        <v>92</v>
      </c>
      <c r="O251" s="2">
        <v>45753</v>
      </c>
      <c r="P251" s="2">
        <v>45758</v>
      </c>
      <c r="Q251" s="1" t="b">
        <v>1</v>
      </c>
      <c r="R251" s="1">
        <v>10</v>
      </c>
      <c r="S251" s="1" t="b">
        <v>1</v>
      </c>
      <c r="T251" s="2">
        <v>45762</v>
      </c>
      <c r="U251" s="1" t="b">
        <v>1</v>
      </c>
      <c r="V251" s="2">
        <v>45776</v>
      </c>
      <c r="W251" s="1" t="b">
        <v>1</v>
      </c>
      <c r="X251" s="2">
        <v>45785</v>
      </c>
      <c r="Y251" s="1">
        <v>91</v>
      </c>
      <c r="Z251" s="1">
        <v>81</v>
      </c>
      <c r="AA251" s="1">
        <v>86</v>
      </c>
      <c r="AB251" s="1" t="b">
        <v>0</v>
      </c>
      <c r="AD251" s="1" t="b">
        <v>0</v>
      </c>
      <c r="AF251" s="1" t="s">
        <v>47</v>
      </c>
      <c r="AH251" s="1">
        <v>32</v>
      </c>
      <c r="AI251" s="1" t="s">
        <v>78</v>
      </c>
    </row>
    <row r="252" spans="1:35" ht="12.5" x14ac:dyDescent="0.25">
      <c r="A252" s="1">
        <v>248</v>
      </c>
      <c r="B252" s="1" t="s">
        <v>818</v>
      </c>
      <c r="C252" s="1" t="s">
        <v>819</v>
      </c>
      <c r="D252" s="1" t="s">
        <v>301</v>
      </c>
      <c r="E252" s="1" t="s">
        <v>102</v>
      </c>
      <c r="F252" s="1" t="s">
        <v>63</v>
      </c>
      <c r="G252" s="1" t="s">
        <v>139</v>
      </c>
      <c r="H252" s="1" t="s">
        <v>65</v>
      </c>
      <c r="I252" s="1" t="s">
        <v>53</v>
      </c>
      <c r="J252" s="1">
        <v>3.8</v>
      </c>
      <c r="K252" s="1" t="s">
        <v>577</v>
      </c>
      <c r="L252" s="1" t="s">
        <v>90</v>
      </c>
      <c r="M252" s="1" t="s">
        <v>123</v>
      </c>
      <c r="N252" s="1" t="s">
        <v>84</v>
      </c>
      <c r="O252" s="2">
        <v>45773</v>
      </c>
      <c r="P252" s="2">
        <v>45775</v>
      </c>
      <c r="Q252" s="1" t="b">
        <v>0</v>
      </c>
      <c r="S252" s="1" t="b">
        <v>0</v>
      </c>
      <c r="U252" s="1" t="b">
        <v>0</v>
      </c>
      <c r="W252" s="1" t="b">
        <v>0</v>
      </c>
      <c r="Y252" s="1">
        <v>67</v>
      </c>
      <c r="Z252" s="1">
        <v>53</v>
      </c>
      <c r="AA252" s="1">
        <v>70</v>
      </c>
      <c r="AB252" s="1" t="b">
        <v>0</v>
      </c>
      <c r="AD252" s="1" t="b">
        <v>0</v>
      </c>
      <c r="AF252" s="1" t="s">
        <v>77</v>
      </c>
      <c r="AG252" s="1" t="s">
        <v>69</v>
      </c>
      <c r="AH252" s="1">
        <v>2</v>
      </c>
      <c r="AI252" s="1" t="s">
        <v>165</v>
      </c>
    </row>
    <row r="253" spans="1:35" ht="12.5" x14ac:dyDescent="0.25">
      <c r="A253" s="1">
        <v>249</v>
      </c>
      <c r="B253" s="1" t="s">
        <v>820</v>
      </c>
      <c r="C253" s="1" t="s">
        <v>821</v>
      </c>
      <c r="D253" s="1" t="s">
        <v>393</v>
      </c>
      <c r="E253" s="1" t="s">
        <v>52</v>
      </c>
      <c r="F253" s="1" t="s">
        <v>111</v>
      </c>
      <c r="G253" s="1" t="s">
        <v>112</v>
      </c>
      <c r="H253" s="1" t="s">
        <v>65</v>
      </c>
      <c r="I253" s="1" t="s">
        <v>42</v>
      </c>
      <c r="J253" s="1">
        <v>5.7</v>
      </c>
      <c r="K253" s="1" t="s">
        <v>368</v>
      </c>
      <c r="L253" s="1" t="s">
        <v>44</v>
      </c>
      <c r="M253" s="1" t="s">
        <v>115</v>
      </c>
      <c r="N253" s="1" t="s">
        <v>116</v>
      </c>
      <c r="O253" s="2">
        <v>45732</v>
      </c>
      <c r="P253" s="2">
        <v>45735</v>
      </c>
      <c r="Q253" s="1" t="b">
        <v>0</v>
      </c>
      <c r="S253" s="1" t="b">
        <v>0</v>
      </c>
      <c r="U253" s="1" t="b">
        <v>0</v>
      </c>
      <c r="W253" s="1" t="b">
        <v>0</v>
      </c>
      <c r="Y253" s="1">
        <v>53</v>
      </c>
      <c r="Z253" s="1">
        <v>83</v>
      </c>
      <c r="AA253" s="1">
        <v>66</v>
      </c>
      <c r="AB253" s="1" t="b">
        <v>0</v>
      </c>
      <c r="AD253" s="1" t="b">
        <v>0</v>
      </c>
      <c r="AF253" s="1" t="s">
        <v>77</v>
      </c>
      <c r="AG253" s="1" t="s">
        <v>69</v>
      </c>
      <c r="AH253" s="1">
        <v>3</v>
      </c>
      <c r="AI253" s="1" t="s">
        <v>157</v>
      </c>
    </row>
    <row r="254" spans="1:35" ht="12.5" x14ac:dyDescent="0.25">
      <c r="A254" s="1">
        <v>250</v>
      </c>
      <c r="B254" s="1" t="s">
        <v>822</v>
      </c>
      <c r="C254" s="1" t="s">
        <v>823</v>
      </c>
      <c r="D254" s="1" t="s">
        <v>164</v>
      </c>
      <c r="E254" s="1" t="s">
        <v>52</v>
      </c>
      <c r="F254" s="1" t="s">
        <v>39</v>
      </c>
      <c r="G254" s="1" t="s">
        <v>97</v>
      </c>
      <c r="H254" s="1" t="s">
        <v>88</v>
      </c>
      <c r="I254" s="1" t="s">
        <v>53</v>
      </c>
      <c r="J254" s="1">
        <v>6</v>
      </c>
      <c r="K254" s="1" t="s">
        <v>824</v>
      </c>
      <c r="L254" s="1" t="s">
        <v>141</v>
      </c>
      <c r="M254" s="1" t="s">
        <v>56</v>
      </c>
      <c r="N254" s="1" t="s">
        <v>84</v>
      </c>
      <c r="O254" s="2">
        <v>45694</v>
      </c>
      <c r="P254" s="2">
        <v>45696</v>
      </c>
      <c r="Q254" s="1" t="b">
        <v>0</v>
      </c>
      <c r="S254" s="1" t="b">
        <v>0</v>
      </c>
      <c r="U254" s="1" t="b">
        <v>0</v>
      </c>
      <c r="W254" s="1" t="b">
        <v>0</v>
      </c>
      <c r="Y254" s="1">
        <v>67</v>
      </c>
      <c r="Z254" s="1">
        <v>70</v>
      </c>
      <c r="AA254" s="1">
        <v>64</v>
      </c>
      <c r="AB254" s="1" t="b">
        <v>0</v>
      </c>
      <c r="AD254" s="1" t="b">
        <v>0</v>
      </c>
      <c r="AF254" s="1" t="s">
        <v>77</v>
      </c>
      <c r="AG254" s="1" t="s">
        <v>69</v>
      </c>
      <c r="AH254" s="1">
        <v>2</v>
      </c>
      <c r="AI254" s="1" t="s">
        <v>165</v>
      </c>
    </row>
    <row r="255" spans="1:35" ht="12.5" hidden="1" x14ac:dyDescent="0.25">
      <c r="A255" s="1">
        <v>251</v>
      </c>
      <c r="B255" s="1" t="s">
        <v>825</v>
      </c>
      <c r="C255" s="1" t="s">
        <v>826</v>
      </c>
      <c r="D255" s="1" t="s">
        <v>827</v>
      </c>
      <c r="E255" s="1" t="s">
        <v>62</v>
      </c>
      <c r="F255" s="1" t="s">
        <v>111</v>
      </c>
      <c r="G255" s="1" t="s">
        <v>64</v>
      </c>
      <c r="H255" s="1" t="s">
        <v>41</v>
      </c>
      <c r="I255" s="1" t="s">
        <v>82</v>
      </c>
      <c r="J255" s="1">
        <v>0.5</v>
      </c>
      <c r="K255" s="1" t="s">
        <v>828</v>
      </c>
      <c r="L255" s="1" t="s">
        <v>90</v>
      </c>
      <c r="M255" s="1" t="s">
        <v>146</v>
      </c>
      <c r="N255" s="1" t="s">
        <v>116</v>
      </c>
      <c r="O255" s="2">
        <v>45735</v>
      </c>
      <c r="P255" s="2">
        <v>45735</v>
      </c>
      <c r="Q255" s="1" t="b">
        <v>1</v>
      </c>
      <c r="R255" s="1">
        <v>6</v>
      </c>
      <c r="S255" s="1" t="b">
        <v>1</v>
      </c>
      <c r="T255" s="2">
        <v>45742</v>
      </c>
      <c r="U255" s="1" t="b">
        <v>0</v>
      </c>
      <c r="W255" s="1" t="b">
        <v>0</v>
      </c>
      <c r="Y255" s="1">
        <v>74</v>
      </c>
      <c r="Z255" s="1">
        <v>77</v>
      </c>
      <c r="AA255" s="1">
        <v>71</v>
      </c>
      <c r="AB255" s="1" t="b">
        <v>0</v>
      </c>
      <c r="AD255" s="1" t="b">
        <v>0</v>
      </c>
      <c r="AF255" s="1" t="s">
        <v>151</v>
      </c>
      <c r="AG255" s="1" t="s">
        <v>117</v>
      </c>
      <c r="AH255" s="1">
        <v>7</v>
      </c>
      <c r="AI255" s="1" t="s">
        <v>165</v>
      </c>
    </row>
    <row r="256" spans="1:35" ht="12.5" x14ac:dyDescent="0.25">
      <c r="A256" s="1">
        <v>252</v>
      </c>
      <c r="B256" s="1" t="s">
        <v>829</v>
      </c>
      <c r="C256" s="1" t="s">
        <v>830</v>
      </c>
      <c r="D256" s="1" t="s">
        <v>664</v>
      </c>
      <c r="E256" s="1" t="s">
        <v>62</v>
      </c>
      <c r="F256" s="1" t="s">
        <v>63</v>
      </c>
      <c r="G256" s="1" t="s">
        <v>40</v>
      </c>
      <c r="H256" s="1" t="s">
        <v>41</v>
      </c>
      <c r="I256" s="1" t="s">
        <v>82</v>
      </c>
      <c r="J256" s="1">
        <v>2.5</v>
      </c>
      <c r="K256" s="1" t="s">
        <v>246</v>
      </c>
      <c r="L256" s="1" t="s">
        <v>67</v>
      </c>
      <c r="M256" s="1" t="s">
        <v>45</v>
      </c>
      <c r="N256" s="1" t="s">
        <v>84</v>
      </c>
      <c r="O256" s="2">
        <v>45717</v>
      </c>
      <c r="P256" s="2">
        <v>45725</v>
      </c>
      <c r="Q256" s="1" t="b">
        <v>0</v>
      </c>
      <c r="S256" s="1" t="b">
        <v>0</v>
      </c>
      <c r="U256" s="1" t="b">
        <v>0</v>
      </c>
      <c r="W256" s="1" t="b">
        <v>0</v>
      </c>
      <c r="Y256" s="1">
        <v>65</v>
      </c>
      <c r="Z256" s="1">
        <v>69</v>
      </c>
      <c r="AA256" s="1">
        <v>67</v>
      </c>
      <c r="AB256" s="1" t="b">
        <v>0</v>
      </c>
      <c r="AD256" s="1" t="b">
        <v>0</v>
      </c>
      <c r="AF256" s="1" t="s">
        <v>77</v>
      </c>
      <c r="AG256" s="1" t="s">
        <v>69</v>
      </c>
      <c r="AH256" s="1">
        <v>8</v>
      </c>
      <c r="AI256" s="1" t="s">
        <v>215</v>
      </c>
    </row>
    <row r="257" spans="1:35" ht="12.5" hidden="1" x14ac:dyDescent="0.25">
      <c r="A257" s="1">
        <v>253</v>
      </c>
      <c r="B257" s="1" t="s">
        <v>831</v>
      </c>
      <c r="C257" s="1" t="s">
        <v>832</v>
      </c>
      <c r="D257" s="1" t="s">
        <v>221</v>
      </c>
      <c r="E257" s="1" t="s">
        <v>38</v>
      </c>
      <c r="F257" s="1" t="s">
        <v>63</v>
      </c>
      <c r="G257" s="1" t="s">
        <v>75</v>
      </c>
      <c r="H257" s="1" t="s">
        <v>65</v>
      </c>
      <c r="I257" s="1" t="s">
        <v>53</v>
      </c>
      <c r="J257" s="1">
        <v>5.5</v>
      </c>
      <c r="K257" s="1" t="s">
        <v>833</v>
      </c>
      <c r="L257" s="1" t="s">
        <v>114</v>
      </c>
      <c r="M257" s="1" t="s">
        <v>123</v>
      </c>
      <c r="N257" s="1" t="s">
        <v>84</v>
      </c>
      <c r="O257" s="2">
        <v>45676</v>
      </c>
      <c r="P257" s="2">
        <v>45680</v>
      </c>
      <c r="Q257" s="1" t="b">
        <v>1</v>
      </c>
      <c r="R257" s="1">
        <v>12</v>
      </c>
      <c r="S257" s="1" t="b">
        <v>1</v>
      </c>
      <c r="T257" s="2">
        <v>45688</v>
      </c>
      <c r="U257" s="1" t="b">
        <v>1</v>
      </c>
      <c r="V257" s="2">
        <v>45701</v>
      </c>
      <c r="W257" s="1" t="b">
        <v>1</v>
      </c>
      <c r="X257" s="2">
        <v>45703</v>
      </c>
      <c r="Y257" s="1">
        <v>68</v>
      </c>
      <c r="Z257" s="1">
        <v>78</v>
      </c>
      <c r="AA257" s="1">
        <v>77</v>
      </c>
      <c r="AB257" s="1" t="b">
        <v>0</v>
      </c>
      <c r="AD257" s="1" t="b">
        <v>0</v>
      </c>
      <c r="AF257" s="1" t="s">
        <v>47</v>
      </c>
      <c r="AG257" s="1" t="s">
        <v>207</v>
      </c>
      <c r="AH257" s="1">
        <v>27</v>
      </c>
      <c r="AI257" s="1" t="s">
        <v>165</v>
      </c>
    </row>
    <row r="258" spans="1:35" ht="12.5" x14ac:dyDescent="0.25">
      <c r="A258" s="1">
        <v>254</v>
      </c>
      <c r="B258" s="1" t="s">
        <v>834</v>
      </c>
      <c r="C258" s="1" t="s">
        <v>835</v>
      </c>
      <c r="D258" s="1" t="s">
        <v>836</v>
      </c>
      <c r="E258" s="1" t="s">
        <v>102</v>
      </c>
      <c r="F258" s="1" t="s">
        <v>39</v>
      </c>
      <c r="G258" s="1" t="s">
        <v>112</v>
      </c>
      <c r="H258" s="1" t="s">
        <v>88</v>
      </c>
      <c r="I258" s="1" t="s">
        <v>42</v>
      </c>
      <c r="J258" s="1">
        <v>6.4</v>
      </c>
      <c r="K258" s="1" t="s">
        <v>203</v>
      </c>
      <c r="L258" s="1" t="s">
        <v>114</v>
      </c>
      <c r="M258" s="1" t="s">
        <v>68</v>
      </c>
      <c r="N258" s="1" t="s">
        <v>92</v>
      </c>
      <c r="O258" s="2">
        <v>45778</v>
      </c>
      <c r="P258" s="2">
        <v>45778</v>
      </c>
      <c r="Q258" s="1" t="b">
        <v>0</v>
      </c>
      <c r="S258" s="1" t="b">
        <v>0</v>
      </c>
      <c r="U258" s="1" t="b">
        <v>0</v>
      </c>
      <c r="W258" s="1" t="b">
        <v>0</v>
      </c>
      <c r="Y258" s="1">
        <v>70</v>
      </c>
      <c r="Z258" s="1">
        <v>84</v>
      </c>
      <c r="AA258" s="1">
        <v>75</v>
      </c>
      <c r="AB258" s="1" t="b">
        <v>0</v>
      </c>
      <c r="AD258" s="1" t="b">
        <v>0</v>
      </c>
      <c r="AF258" s="1" t="s">
        <v>77</v>
      </c>
      <c r="AG258" s="1" t="s">
        <v>69</v>
      </c>
      <c r="AH258" s="1">
        <v>0</v>
      </c>
      <c r="AI258" s="1" t="s">
        <v>48</v>
      </c>
    </row>
    <row r="259" spans="1:35" ht="12.5" x14ac:dyDescent="0.25">
      <c r="A259" s="1">
        <v>255</v>
      </c>
      <c r="B259" s="1" t="s">
        <v>837</v>
      </c>
      <c r="C259" s="1" t="s">
        <v>838</v>
      </c>
      <c r="D259" s="1" t="s">
        <v>598</v>
      </c>
      <c r="E259" s="1" t="s">
        <v>52</v>
      </c>
      <c r="F259" s="1" t="s">
        <v>74</v>
      </c>
      <c r="G259" s="1" t="s">
        <v>139</v>
      </c>
      <c r="H259" s="1" t="s">
        <v>65</v>
      </c>
      <c r="I259" s="1" t="s">
        <v>82</v>
      </c>
      <c r="J259" s="1">
        <v>2.9</v>
      </c>
      <c r="K259" s="1" t="s">
        <v>839</v>
      </c>
      <c r="L259" s="1" t="s">
        <v>55</v>
      </c>
      <c r="M259" s="1" t="s">
        <v>91</v>
      </c>
      <c r="N259" s="1" t="s">
        <v>84</v>
      </c>
      <c r="O259" s="2">
        <v>45781</v>
      </c>
      <c r="P259" s="2">
        <v>45781</v>
      </c>
      <c r="Q259" s="1" t="b">
        <v>0</v>
      </c>
      <c r="S259" s="1" t="b">
        <v>0</v>
      </c>
      <c r="U259" s="1" t="b">
        <v>0</v>
      </c>
      <c r="W259" s="1" t="b">
        <v>0</v>
      </c>
      <c r="Y259" s="1">
        <v>76</v>
      </c>
      <c r="Z259" s="1">
        <v>79</v>
      </c>
      <c r="AA259" s="1">
        <v>70</v>
      </c>
      <c r="AB259" s="1" t="b">
        <v>0</v>
      </c>
      <c r="AD259" s="1" t="b">
        <v>0</v>
      </c>
      <c r="AF259" s="1" t="s">
        <v>77</v>
      </c>
      <c r="AG259" s="1" t="s">
        <v>69</v>
      </c>
      <c r="AH259" s="1">
        <v>0</v>
      </c>
      <c r="AI259" s="1" t="s">
        <v>165</v>
      </c>
    </row>
    <row r="260" spans="1:35" ht="12.5" hidden="1" x14ac:dyDescent="0.25">
      <c r="A260" s="1">
        <v>256</v>
      </c>
      <c r="B260" s="1" t="s">
        <v>840</v>
      </c>
      <c r="C260" s="1" t="s">
        <v>841</v>
      </c>
      <c r="D260" s="1" t="s">
        <v>508</v>
      </c>
      <c r="E260" s="1" t="s">
        <v>52</v>
      </c>
      <c r="F260" s="1" t="s">
        <v>63</v>
      </c>
      <c r="G260" s="1" t="s">
        <v>112</v>
      </c>
      <c r="H260" s="1" t="s">
        <v>88</v>
      </c>
      <c r="I260" s="1" t="s">
        <v>42</v>
      </c>
      <c r="J260" s="1">
        <v>8.1999999999999993</v>
      </c>
      <c r="K260" s="1" t="s">
        <v>788</v>
      </c>
      <c r="L260" s="1" t="s">
        <v>114</v>
      </c>
      <c r="M260" s="1" t="s">
        <v>45</v>
      </c>
      <c r="N260" s="1" t="s">
        <v>116</v>
      </c>
      <c r="O260" s="2">
        <v>45729</v>
      </c>
      <c r="P260" s="2">
        <v>45731</v>
      </c>
      <c r="Q260" s="1" t="b">
        <v>1</v>
      </c>
      <c r="R260" s="1">
        <v>7</v>
      </c>
      <c r="S260" s="1" t="b">
        <v>0</v>
      </c>
      <c r="U260" s="1" t="b">
        <v>0</v>
      </c>
      <c r="W260" s="1" t="b">
        <v>0</v>
      </c>
      <c r="Y260" s="1">
        <v>66</v>
      </c>
      <c r="Z260" s="1">
        <v>65</v>
      </c>
      <c r="AA260" s="1">
        <v>55</v>
      </c>
      <c r="AB260" s="1" t="b">
        <v>0</v>
      </c>
      <c r="AD260" s="1" t="b">
        <v>0</v>
      </c>
      <c r="AF260" s="1" t="s">
        <v>57</v>
      </c>
      <c r="AH260" s="1">
        <v>2</v>
      </c>
      <c r="AI260" s="1" t="s">
        <v>135</v>
      </c>
    </row>
    <row r="261" spans="1:35" ht="12.5" hidden="1" x14ac:dyDescent="0.25">
      <c r="A261" s="1">
        <v>257</v>
      </c>
      <c r="B261" s="1" t="s">
        <v>842</v>
      </c>
      <c r="C261" s="1" t="s">
        <v>843</v>
      </c>
      <c r="D261" s="1" t="s">
        <v>344</v>
      </c>
      <c r="E261" s="1" t="s">
        <v>62</v>
      </c>
      <c r="F261" s="1" t="s">
        <v>111</v>
      </c>
      <c r="G261" s="1" t="s">
        <v>64</v>
      </c>
      <c r="H261" s="1" t="s">
        <v>88</v>
      </c>
      <c r="I261" s="1" t="s">
        <v>53</v>
      </c>
      <c r="J261" s="1">
        <v>4.3</v>
      </c>
      <c r="K261" s="1" t="s">
        <v>844</v>
      </c>
      <c r="L261" s="1" t="s">
        <v>141</v>
      </c>
      <c r="M261" s="1" t="s">
        <v>91</v>
      </c>
      <c r="N261" s="1" t="s">
        <v>46</v>
      </c>
      <c r="O261" s="2">
        <v>45765</v>
      </c>
      <c r="P261" s="2">
        <v>45775</v>
      </c>
      <c r="Q261" s="1" t="b">
        <v>1</v>
      </c>
      <c r="R261" s="1">
        <v>2</v>
      </c>
      <c r="S261" s="1" t="b">
        <v>1</v>
      </c>
      <c r="T261" s="2">
        <v>45776</v>
      </c>
      <c r="U261" s="1" t="b">
        <v>1</v>
      </c>
      <c r="V261" s="2">
        <v>45789</v>
      </c>
      <c r="W261" s="1" t="b">
        <v>1</v>
      </c>
      <c r="X261" s="2">
        <v>45790</v>
      </c>
      <c r="Y261" s="1">
        <v>78</v>
      </c>
      <c r="Z261" s="1">
        <v>74</v>
      </c>
      <c r="AA261" s="1">
        <v>85</v>
      </c>
      <c r="AB261" s="1" t="b">
        <v>0</v>
      </c>
      <c r="AD261" s="1" t="b">
        <v>0</v>
      </c>
      <c r="AF261" s="1" t="s">
        <v>47</v>
      </c>
      <c r="AH261" s="1">
        <v>25</v>
      </c>
      <c r="AI261" s="1" t="s">
        <v>48</v>
      </c>
    </row>
    <row r="262" spans="1:35" ht="12.5" x14ac:dyDescent="0.25">
      <c r="A262" s="1">
        <v>258</v>
      </c>
      <c r="B262" s="1" t="s">
        <v>845</v>
      </c>
      <c r="C262" s="1" t="s">
        <v>846</v>
      </c>
      <c r="D262" s="1" t="s">
        <v>218</v>
      </c>
      <c r="E262" s="1" t="s">
        <v>62</v>
      </c>
      <c r="F262" s="1" t="s">
        <v>111</v>
      </c>
      <c r="G262" s="1" t="s">
        <v>64</v>
      </c>
      <c r="H262" s="1" t="s">
        <v>65</v>
      </c>
      <c r="I262" s="1" t="s">
        <v>42</v>
      </c>
      <c r="J262" s="1">
        <v>7.4</v>
      </c>
      <c r="K262" s="1" t="s">
        <v>847</v>
      </c>
      <c r="L262" s="1" t="s">
        <v>114</v>
      </c>
      <c r="M262" s="1" t="s">
        <v>91</v>
      </c>
      <c r="N262" s="1" t="s">
        <v>46</v>
      </c>
      <c r="O262" s="2">
        <v>45741</v>
      </c>
      <c r="P262" s="2">
        <v>45741</v>
      </c>
      <c r="Q262" s="1" t="b">
        <v>0</v>
      </c>
      <c r="S262" s="1" t="b">
        <v>0</v>
      </c>
      <c r="U262" s="1" t="b">
        <v>0</v>
      </c>
      <c r="W262" s="1" t="b">
        <v>0</v>
      </c>
      <c r="Y262" s="1">
        <v>83</v>
      </c>
      <c r="Z262" s="1">
        <v>69</v>
      </c>
      <c r="AA262" s="1">
        <v>80</v>
      </c>
      <c r="AB262" s="1" t="b">
        <v>0</v>
      </c>
      <c r="AD262" s="1" t="b">
        <v>0</v>
      </c>
      <c r="AF262" s="1" t="s">
        <v>77</v>
      </c>
      <c r="AG262" s="1" t="s">
        <v>69</v>
      </c>
      <c r="AH262" s="1">
        <v>0</v>
      </c>
      <c r="AI262" s="1" t="s">
        <v>58</v>
      </c>
    </row>
    <row r="263" spans="1:35" ht="12.5" hidden="1" x14ac:dyDescent="0.25">
      <c r="A263" s="1">
        <v>259</v>
      </c>
      <c r="B263" s="1" t="s">
        <v>848</v>
      </c>
      <c r="C263" s="1" t="s">
        <v>849</v>
      </c>
      <c r="D263" s="1" t="s">
        <v>850</v>
      </c>
      <c r="E263" s="1" t="s">
        <v>62</v>
      </c>
      <c r="F263" s="1" t="s">
        <v>111</v>
      </c>
      <c r="G263" s="1" t="s">
        <v>97</v>
      </c>
      <c r="H263" s="1" t="s">
        <v>41</v>
      </c>
      <c r="I263" s="1" t="s">
        <v>42</v>
      </c>
      <c r="J263" s="1">
        <v>5.0999999999999996</v>
      </c>
      <c r="K263" s="1" t="s">
        <v>809</v>
      </c>
      <c r="L263" s="1" t="s">
        <v>44</v>
      </c>
      <c r="M263" s="1" t="s">
        <v>115</v>
      </c>
      <c r="N263" s="1" t="s">
        <v>116</v>
      </c>
      <c r="O263" s="2">
        <v>45791</v>
      </c>
      <c r="P263" s="2">
        <v>45791</v>
      </c>
      <c r="Q263" s="1" t="b">
        <v>1</v>
      </c>
      <c r="R263" s="1">
        <v>12</v>
      </c>
      <c r="S263" s="1" t="b">
        <v>0</v>
      </c>
      <c r="U263" s="1" t="b">
        <v>0</v>
      </c>
      <c r="W263" s="1" t="b">
        <v>0</v>
      </c>
      <c r="Y263" s="1">
        <v>86</v>
      </c>
      <c r="Z263" s="1">
        <v>83</v>
      </c>
      <c r="AA263" s="1">
        <v>86</v>
      </c>
      <c r="AB263" s="1" t="b">
        <v>0</v>
      </c>
      <c r="AD263" s="1" t="b">
        <v>0</v>
      </c>
      <c r="AF263" s="1" t="s">
        <v>57</v>
      </c>
      <c r="AH263" s="1">
        <v>0</v>
      </c>
      <c r="AI263" s="1" t="s">
        <v>93</v>
      </c>
    </row>
    <row r="264" spans="1:35" ht="12.5" hidden="1" x14ac:dyDescent="0.25">
      <c r="A264" s="1">
        <v>260</v>
      </c>
      <c r="B264" s="1" t="s">
        <v>851</v>
      </c>
      <c r="C264" s="1" t="s">
        <v>852</v>
      </c>
      <c r="D264" s="1" t="s">
        <v>138</v>
      </c>
      <c r="E264" s="1" t="s">
        <v>102</v>
      </c>
      <c r="F264" s="1" t="s">
        <v>111</v>
      </c>
      <c r="G264" s="1" t="s">
        <v>139</v>
      </c>
      <c r="H264" s="1" t="s">
        <v>41</v>
      </c>
      <c r="I264" s="1" t="s">
        <v>42</v>
      </c>
      <c r="J264" s="1">
        <v>6.3</v>
      </c>
      <c r="K264" s="1" t="s">
        <v>624</v>
      </c>
      <c r="L264" s="1" t="s">
        <v>114</v>
      </c>
      <c r="M264" s="1" t="s">
        <v>115</v>
      </c>
      <c r="N264" s="1" t="s">
        <v>46</v>
      </c>
      <c r="O264" s="2">
        <v>45687</v>
      </c>
      <c r="P264" s="2">
        <v>45689</v>
      </c>
      <c r="Q264" s="1" t="b">
        <v>1</v>
      </c>
      <c r="R264" s="1">
        <v>10</v>
      </c>
      <c r="S264" s="1" t="b">
        <v>0</v>
      </c>
      <c r="U264" s="1" t="b">
        <v>0</v>
      </c>
      <c r="W264" s="1" t="b">
        <v>0</v>
      </c>
      <c r="Y264" s="1">
        <v>76</v>
      </c>
      <c r="Z264" s="1">
        <v>69</v>
      </c>
      <c r="AA264" s="1">
        <v>83</v>
      </c>
      <c r="AB264" s="1" t="b">
        <v>0</v>
      </c>
      <c r="AD264" s="1" t="b">
        <v>0</v>
      </c>
      <c r="AF264" s="1" t="s">
        <v>57</v>
      </c>
      <c r="AG264" s="1" t="s">
        <v>152</v>
      </c>
      <c r="AH264" s="1">
        <v>2</v>
      </c>
      <c r="AI264" s="1" t="s">
        <v>93</v>
      </c>
    </row>
    <row r="265" spans="1:35" ht="12.5" x14ac:dyDescent="0.25">
      <c r="A265" s="1">
        <v>261</v>
      </c>
      <c r="B265" s="1" t="s">
        <v>853</v>
      </c>
      <c r="C265" s="1" t="s">
        <v>854</v>
      </c>
      <c r="D265" s="1" t="s">
        <v>850</v>
      </c>
      <c r="E265" s="1" t="s">
        <v>102</v>
      </c>
      <c r="F265" s="1" t="s">
        <v>39</v>
      </c>
      <c r="G265" s="1" t="s">
        <v>40</v>
      </c>
      <c r="H265" s="1" t="s">
        <v>41</v>
      </c>
      <c r="I265" s="1" t="s">
        <v>82</v>
      </c>
      <c r="J265" s="1">
        <v>2.2999999999999998</v>
      </c>
      <c r="K265" s="1" t="s">
        <v>778</v>
      </c>
      <c r="L265" s="1" t="s">
        <v>67</v>
      </c>
      <c r="M265" s="1" t="s">
        <v>123</v>
      </c>
      <c r="N265" s="1" t="s">
        <v>116</v>
      </c>
      <c r="O265" s="2">
        <v>45787</v>
      </c>
      <c r="P265" s="2">
        <v>45794</v>
      </c>
      <c r="Q265" s="1" t="b">
        <v>0</v>
      </c>
      <c r="S265" s="1" t="b">
        <v>0</v>
      </c>
      <c r="U265" s="1" t="b">
        <v>0</v>
      </c>
      <c r="W265" s="1" t="b">
        <v>0</v>
      </c>
      <c r="Y265" s="1">
        <v>59</v>
      </c>
      <c r="Z265" s="1">
        <v>70</v>
      </c>
      <c r="AA265" s="1">
        <v>57</v>
      </c>
      <c r="AB265" s="1" t="b">
        <v>0</v>
      </c>
      <c r="AD265" s="1" t="b">
        <v>0</v>
      </c>
      <c r="AF265" s="1" t="s">
        <v>77</v>
      </c>
      <c r="AG265" s="1" t="s">
        <v>69</v>
      </c>
      <c r="AH265" s="1">
        <v>7</v>
      </c>
      <c r="AI265" s="1" t="s">
        <v>157</v>
      </c>
    </row>
    <row r="266" spans="1:35" ht="12.5" x14ac:dyDescent="0.25">
      <c r="A266" s="1">
        <v>262</v>
      </c>
      <c r="B266" s="1" t="s">
        <v>855</v>
      </c>
      <c r="C266" s="1" t="s">
        <v>856</v>
      </c>
      <c r="D266" s="1" t="s">
        <v>301</v>
      </c>
      <c r="E266" s="1" t="s">
        <v>102</v>
      </c>
      <c r="F266" s="1" t="s">
        <v>111</v>
      </c>
      <c r="G266" s="1" t="s">
        <v>75</v>
      </c>
      <c r="H266" s="1" t="s">
        <v>41</v>
      </c>
      <c r="I266" s="1" t="s">
        <v>53</v>
      </c>
      <c r="J266" s="1">
        <v>2</v>
      </c>
      <c r="K266" s="1" t="s">
        <v>642</v>
      </c>
      <c r="L266" s="1" t="s">
        <v>90</v>
      </c>
      <c r="M266" s="1" t="s">
        <v>68</v>
      </c>
      <c r="N266" s="1" t="s">
        <v>116</v>
      </c>
      <c r="O266" s="2">
        <v>45757</v>
      </c>
      <c r="P266" s="2">
        <v>45761</v>
      </c>
      <c r="Q266" s="1" t="b">
        <v>0</v>
      </c>
      <c r="S266" s="1" t="b">
        <v>0</v>
      </c>
      <c r="U266" s="1" t="b">
        <v>0</v>
      </c>
      <c r="W266" s="1" t="b">
        <v>0</v>
      </c>
      <c r="Y266" s="1">
        <v>62</v>
      </c>
      <c r="Z266" s="1">
        <v>68</v>
      </c>
      <c r="AA266" s="1">
        <v>57</v>
      </c>
      <c r="AB266" s="1" t="b">
        <v>0</v>
      </c>
      <c r="AD266" s="1" t="b">
        <v>0</v>
      </c>
      <c r="AF266" s="1" t="s">
        <v>77</v>
      </c>
      <c r="AG266" s="1" t="s">
        <v>69</v>
      </c>
      <c r="AH266" s="1">
        <v>4</v>
      </c>
      <c r="AI266" s="1" t="s">
        <v>135</v>
      </c>
    </row>
    <row r="267" spans="1:35" ht="12.5" x14ac:dyDescent="0.25">
      <c r="A267" s="1">
        <v>263</v>
      </c>
      <c r="B267" s="1" t="s">
        <v>857</v>
      </c>
      <c r="C267" s="1" t="s">
        <v>858</v>
      </c>
      <c r="D267" s="1" t="s">
        <v>335</v>
      </c>
      <c r="E267" s="1" t="s">
        <v>102</v>
      </c>
      <c r="F267" s="1" t="s">
        <v>74</v>
      </c>
      <c r="G267" s="1" t="s">
        <v>97</v>
      </c>
      <c r="H267" s="1" t="s">
        <v>65</v>
      </c>
      <c r="I267" s="1" t="s">
        <v>82</v>
      </c>
      <c r="J267" s="1">
        <v>3.1</v>
      </c>
      <c r="K267" s="1" t="s">
        <v>345</v>
      </c>
      <c r="L267" s="1" t="s">
        <v>44</v>
      </c>
      <c r="M267" s="1" t="s">
        <v>129</v>
      </c>
      <c r="N267" s="1" t="s">
        <v>46</v>
      </c>
      <c r="O267" s="2">
        <v>45734</v>
      </c>
      <c r="P267" s="2">
        <v>45734</v>
      </c>
      <c r="Q267" s="1" t="b">
        <v>0</v>
      </c>
      <c r="S267" s="1" t="b">
        <v>0</v>
      </c>
      <c r="U267" s="1" t="b">
        <v>0</v>
      </c>
      <c r="W267" s="1" t="b">
        <v>0</v>
      </c>
      <c r="Y267" s="1">
        <v>83</v>
      </c>
      <c r="Z267" s="1">
        <v>83</v>
      </c>
      <c r="AA267" s="1">
        <v>76</v>
      </c>
      <c r="AB267" s="1" t="b">
        <v>0</v>
      </c>
      <c r="AD267" s="1" t="b">
        <v>0</v>
      </c>
      <c r="AF267" s="1" t="s">
        <v>77</v>
      </c>
      <c r="AG267" s="1" t="s">
        <v>69</v>
      </c>
      <c r="AH267" s="1">
        <v>0</v>
      </c>
      <c r="AI267" s="1" t="s">
        <v>215</v>
      </c>
    </row>
    <row r="268" spans="1:35" ht="12.5" x14ac:dyDescent="0.25">
      <c r="A268" s="1">
        <v>264</v>
      </c>
      <c r="B268" s="1" t="s">
        <v>859</v>
      </c>
      <c r="C268" s="1" t="s">
        <v>860</v>
      </c>
      <c r="D268" s="1" t="s">
        <v>61</v>
      </c>
      <c r="E268" s="1" t="s">
        <v>38</v>
      </c>
      <c r="F268" s="1" t="s">
        <v>39</v>
      </c>
      <c r="G268" s="1" t="s">
        <v>139</v>
      </c>
      <c r="H268" s="1" t="s">
        <v>88</v>
      </c>
      <c r="I268" s="1" t="s">
        <v>103</v>
      </c>
      <c r="J268" s="1">
        <v>11.2</v>
      </c>
      <c r="K268" s="1" t="s">
        <v>730</v>
      </c>
      <c r="L268" s="1" t="s">
        <v>44</v>
      </c>
      <c r="M268" s="1" t="s">
        <v>91</v>
      </c>
      <c r="N268" s="1" t="s">
        <v>92</v>
      </c>
      <c r="O268" s="2">
        <v>45769</v>
      </c>
      <c r="P268" s="2">
        <v>45771</v>
      </c>
      <c r="Q268" s="1" t="b">
        <v>1</v>
      </c>
      <c r="R268" s="1">
        <v>7</v>
      </c>
      <c r="S268" s="1" t="b">
        <v>1</v>
      </c>
      <c r="T268" s="2">
        <v>45781</v>
      </c>
      <c r="U268" s="1" t="b">
        <v>1</v>
      </c>
      <c r="V268" s="2">
        <v>45786</v>
      </c>
      <c r="W268" s="1" t="b">
        <v>1</v>
      </c>
      <c r="X268" s="2">
        <v>45795</v>
      </c>
      <c r="Y268" s="1">
        <v>70</v>
      </c>
      <c r="Z268" s="1">
        <v>73</v>
      </c>
      <c r="AA268" s="1">
        <v>59</v>
      </c>
      <c r="AB268" s="1" t="b">
        <v>0</v>
      </c>
      <c r="AD268" s="1" t="b">
        <v>0</v>
      </c>
      <c r="AF268" s="1" t="s">
        <v>47</v>
      </c>
      <c r="AG268" s="1" t="s">
        <v>69</v>
      </c>
      <c r="AH268" s="1">
        <v>26</v>
      </c>
      <c r="AI268" s="1" t="s">
        <v>165</v>
      </c>
    </row>
    <row r="269" spans="1:35" ht="12.5" hidden="1" x14ac:dyDescent="0.25">
      <c r="A269" s="1">
        <v>265</v>
      </c>
      <c r="B269" s="1" t="s">
        <v>861</v>
      </c>
      <c r="C269" s="1" t="s">
        <v>862</v>
      </c>
      <c r="D269" s="1" t="s">
        <v>108</v>
      </c>
      <c r="E269" s="1" t="s">
        <v>52</v>
      </c>
      <c r="F269" s="1" t="s">
        <v>63</v>
      </c>
      <c r="G269" s="1" t="s">
        <v>112</v>
      </c>
      <c r="H269" s="1" t="s">
        <v>41</v>
      </c>
      <c r="I269" s="1" t="s">
        <v>82</v>
      </c>
      <c r="J269" s="1">
        <v>0</v>
      </c>
      <c r="K269" s="1" t="s">
        <v>863</v>
      </c>
      <c r="L269" s="1" t="s">
        <v>44</v>
      </c>
      <c r="M269" s="1" t="s">
        <v>56</v>
      </c>
      <c r="N269" s="1" t="s">
        <v>116</v>
      </c>
      <c r="O269" s="2">
        <v>45671</v>
      </c>
      <c r="P269" s="2">
        <v>45674</v>
      </c>
      <c r="Q269" s="1" t="b">
        <v>1</v>
      </c>
      <c r="R269" s="1">
        <v>10</v>
      </c>
      <c r="S269" s="1" t="b">
        <v>0</v>
      </c>
      <c r="U269" s="1" t="b">
        <v>0</v>
      </c>
      <c r="W269" s="1" t="b">
        <v>0</v>
      </c>
      <c r="Y269" s="1">
        <v>86</v>
      </c>
      <c r="Z269" s="1">
        <v>65</v>
      </c>
      <c r="AA269" s="1">
        <v>70</v>
      </c>
      <c r="AB269" s="1" t="b">
        <v>0</v>
      </c>
      <c r="AD269" s="1" t="b">
        <v>0</v>
      </c>
      <c r="AF269" s="1" t="s">
        <v>57</v>
      </c>
      <c r="AG269" s="1" t="s">
        <v>176</v>
      </c>
      <c r="AH269" s="1">
        <v>3</v>
      </c>
      <c r="AI269" s="1" t="s">
        <v>135</v>
      </c>
    </row>
    <row r="270" spans="1:35" ht="12.5" hidden="1" x14ac:dyDescent="0.25">
      <c r="A270" s="1">
        <v>266</v>
      </c>
      <c r="B270" s="1" t="s">
        <v>864</v>
      </c>
      <c r="C270" s="1" t="s">
        <v>865</v>
      </c>
      <c r="D270" s="1" t="s">
        <v>344</v>
      </c>
      <c r="E270" s="1" t="s">
        <v>38</v>
      </c>
      <c r="F270" s="1" t="s">
        <v>39</v>
      </c>
      <c r="G270" s="1" t="s">
        <v>40</v>
      </c>
      <c r="H270" s="1" t="s">
        <v>41</v>
      </c>
      <c r="I270" s="1" t="s">
        <v>42</v>
      </c>
      <c r="J270" s="1">
        <v>5.8</v>
      </c>
      <c r="K270" s="1" t="s">
        <v>345</v>
      </c>
      <c r="L270" s="1" t="s">
        <v>90</v>
      </c>
      <c r="M270" s="1" t="s">
        <v>129</v>
      </c>
      <c r="N270" s="1" t="s">
        <v>84</v>
      </c>
      <c r="O270" s="2">
        <v>45804</v>
      </c>
      <c r="P270" s="2">
        <v>45804</v>
      </c>
      <c r="Q270" s="1" t="b">
        <v>1</v>
      </c>
      <c r="R270" s="1">
        <v>3</v>
      </c>
      <c r="S270" s="1" t="b">
        <v>1</v>
      </c>
      <c r="T270" s="2">
        <v>45810</v>
      </c>
      <c r="U270" s="1" t="b">
        <v>1</v>
      </c>
      <c r="V270" s="2">
        <v>45820</v>
      </c>
      <c r="W270" s="1" t="b">
        <v>1</v>
      </c>
      <c r="X270" s="2">
        <v>45823</v>
      </c>
      <c r="Y270" s="1">
        <v>79</v>
      </c>
      <c r="Z270" s="1">
        <v>99</v>
      </c>
      <c r="AA270" s="1">
        <v>88</v>
      </c>
      <c r="AB270" s="1" t="b">
        <v>1</v>
      </c>
      <c r="AC270" s="2">
        <v>45829</v>
      </c>
      <c r="AD270" s="1" t="b">
        <v>1</v>
      </c>
      <c r="AE270" s="2">
        <v>45837</v>
      </c>
      <c r="AF270" s="1" t="s">
        <v>134</v>
      </c>
      <c r="AH270" s="1">
        <v>33</v>
      </c>
      <c r="AI270" s="1" t="s">
        <v>215</v>
      </c>
    </row>
    <row r="271" spans="1:35" ht="12.5" x14ac:dyDescent="0.25">
      <c r="A271" s="1">
        <v>267</v>
      </c>
      <c r="B271" s="1" t="s">
        <v>866</v>
      </c>
      <c r="C271" s="1" t="s">
        <v>867</v>
      </c>
      <c r="D271" s="1" t="s">
        <v>335</v>
      </c>
      <c r="E271" s="1" t="s">
        <v>102</v>
      </c>
      <c r="F271" s="1" t="s">
        <v>74</v>
      </c>
      <c r="G271" s="1" t="s">
        <v>64</v>
      </c>
      <c r="H271" s="1" t="s">
        <v>88</v>
      </c>
      <c r="I271" s="1" t="s">
        <v>53</v>
      </c>
      <c r="J271" s="1">
        <v>3.5</v>
      </c>
      <c r="K271" s="1" t="s">
        <v>868</v>
      </c>
      <c r="L271" s="1" t="s">
        <v>67</v>
      </c>
      <c r="M271" s="1" t="s">
        <v>56</v>
      </c>
      <c r="N271" s="1" t="s">
        <v>116</v>
      </c>
      <c r="O271" s="2">
        <v>45705</v>
      </c>
      <c r="P271" s="2">
        <v>45707</v>
      </c>
      <c r="Q271" s="1" t="b">
        <v>0</v>
      </c>
      <c r="S271" s="1" t="b">
        <v>0</v>
      </c>
      <c r="U271" s="1" t="b">
        <v>0</v>
      </c>
      <c r="W271" s="1" t="b">
        <v>0</v>
      </c>
      <c r="Y271" s="1">
        <v>72</v>
      </c>
      <c r="Z271" s="1">
        <v>73</v>
      </c>
      <c r="AA271" s="1">
        <v>73</v>
      </c>
      <c r="AB271" s="1" t="b">
        <v>0</v>
      </c>
      <c r="AD271" s="1" t="b">
        <v>0</v>
      </c>
      <c r="AF271" s="1" t="s">
        <v>77</v>
      </c>
      <c r="AG271" s="1" t="s">
        <v>69</v>
      </c>
      <c r="AH271" s="1">
        <v>2</v>
      </c>
      <c r="AI271" s="1" t="s">
        <v>157</v>
      </c>
    </row>
    <row r="272" spans="1:35" ht="12.5" hidden="1" x14ac:dyDescent="0.25">
      <c r="A272" s="1">
        <v>268</v>
      </c>
      <c r="B272" s="1" t="s">
        <v>869</v>
      </c>
      <c r="C272" s="1" t="s">
        <v>870</v>
      </c>
      <c r="D272" s="1" t="s">
        <v>164</v>
      </c>
      <c r="E272" s="1" t="s">
        <v>62</v>
      </c>
      <c r="F272" s="1" t="s">
        <v>63</v>
      </c>
      <c r="G272" s="1" t="s">
        <v>112</v>
      </c>
      <c r="H272" s="1" t="s">
        <v>41</v>
      </c>
      <c r="I272" s="1" t="s">
        <v>53</v>
      </c>
      <c r="J272" s="1">
        <v>4.7</v>
      </c>
      <c r="K272" s="1" t="s">
        <v>871</v>
      </c>
      <c r="L272" s="1" t="s">
        <v>90</v>
      </c>
      <c r="M272" s="1" t="s">
        <v>129</v>
      </c>
      <c r="N272" s="1" t="s">
        <v>84</v>
      </c>
      <c r="O272" s="2">
        <v>45667</v>
      </c>
      <c r="P272" s="2">
        <v>45670</v>
      </c>
      <c r="Q272" s="1" t="b">
        <v>1</v>
      </c>
      <c r="R272" s="1">
        <v>8</v>
      </c>
      <c r="S272" s="1" t="b">
        <v>1</v>
      </c>
      <c r="T272" s="2">
        <v>45678</v>
      </c>
      <c r="U272" s="1" t="b">
        <v>1</v>
      </c>
      <c r="V272" s="2">
        <v>45688</v>
      </c>
      <c r="W272" s="1" t="b">
        <v>1</v>
      </c>
      <c r="X272" s="2">
        <v>45697</v>
      </c>
      <c r="Y272" s="1">
        <v>59</v>
      </c>
      <c r="Z272" s="1">
        <v>83</v>
      </c>
      <c r="AA272" s="1">
        <v>79</v>
      </c>
      <c r="AB272" s="1" t="b">
        <v>0</v>
      </c>
      <c r="AD272" s="1" t="b">
        <v>0</v>
      </c>
      <c r="AF272" s="1" t="s">
        <v>47</v>
      </c>
      <c r="AG272" s="1" t="s">
        <v>287</v>
      </c>
      <c r="AH272" s="1">
        <v>30</v>
      </c>
      <c r="AI272" s="1" t="s">
        <v>93</v>
      </c>
    </row>
    <row r="273" spans="1:35" ht="12.5" x14ac:dyDescent="0.25">
      <c r="A273" s="1">
        <v>269</v>
      </c>
      <c r="B273" s="1" t="s">
        <v>872</v>
      </c>
      <c r="C273" s="1" t="s">
        <v>873</v>
      </c>
      <c r="D273" s="1" t="s">
        <v>473</v>
      </c>
      <c r="E273" s="1" t="s">
        <v>102</v>
      </c>
      <c r="F273" s="1" t="s">
        <v>39</v>
      </c>
      <c r="G273" s="1" t="s">
        <v>139</v>
      </c>
      <c r="H273" s="1" t="s">
        <v>88</v>
      </c>
      <c r="I273" s="1" t="s">
        <v>82</v>
      </c>
      <c r="J273" s="1">
        <v>0</v>
      </c>
      <c r="K273" s="1" t="s">
        <v>312</v>
      </c>
      <c r="L273" s="1" t="s">
        <v>114</v>
      </c>
      <c r="M273" s="1" t="s">
        <v>45</v>
      </c>
      <c r="N273" s="1" t="s">
        <v>84</v>
      </c>
      <c r="O273" s="2">
        <v>45787</v>
      </c>
      <c r="P273" s="2">
        <v>45793</v>
      </c>
      <c r="Q273" s="1" t="b">
        <v>0</v>
      </c>
      <c r="S273" s="1" t="b">
        <v>0</v>
      </c>
      <c r="U273" s="1" t="b">
        <v>0</v>
      </c>
      <c r="W273" s="1" t="b">
        <v>0</v>
      </c>
      <c r="Y273" s="1">
        <v>74</v>
      </c>
      <c r="Z273" s="1">
        <v>80</v>
      </c>
      <c r="AA273" s="1">
        <v>77</v>
      </c>
      <c r="AB273" s="1" t="b">
        <v>0</v>
      </c>
      <c r="AD273" s="1" t="b">
        <v>0</v>
      </c>
      <c r="AF273" s="1" t="s">
        <v>77</v>
      </c>
      <c r="AG273" s="1" t="s">
        <v>69</v>
      </c>
      <c r="AH273" s="1">
        <v>6</v>
      </c>
      <c r="AI273" s="1" t="s">
        <v>135</v>
      </c>
    </row>
    <row r="274" spans="1:35" ht="12.5" hidden="1" x14ac:dyDescent="0.25">
      <c r="A274" s="1">
        <v>270</v>
      </c>
      <c r="B274" s="1" t="s">
        <v>874</v>
      </c>
      <c r="C274" s="1" t="s">
        <v>875</v>
      </c>
      <c r="D274" s="1" t="s">
        <v>483</v>
      </c>
      <c r="E274" s="1" t="s">
        <v>38</v>
      </c>
      <c r="F274" s="1" t="s">
        <v>63</v>
      </c>
      <c r="G274" s="1" t="s">
        <v>75</v>
      </c>
      <c r="H274" s="1" t="s">
        <v>88</v>
      </c>
      <c r="I274" s="1" t="s">
        <v>42</v>
      </c>
      <c r="J274" s="1">
        <v>7.5</v>
      </c>
      <c r="K274" s="1" t="s">
        <v>876</v>
      </c>
      <c r="L274" s="1" t="s">
        <v>90</v>
      </c>
      <c r="M274" s="1" t="s">
        <v>123</v>
      </c>
      <c r="N274" s="1" t="s">
        <v>116</v>
      </c>
      <c r="O274" s="2">
        <v>45745</v>
      </c>
      <c r="P274" s="2">
        <v>45753</v>
      </c>
      <c r="Q274" s="1" t="b">
        <v>1</v>
      </c>
      <c r="R274" s="1">
        <v>12</v>
      </c>
      <c r="S274" s="1" t="b">
        <v>1</v>
      </c>
      <c r="T274" s="2">
        <v>45762</v>
      </c>
      <c r="U274" s="1" t="b">
        <v>1</v>
      </c>
      <c r="V274" s="2">
        <v>45776</v>
      </c>
      <c r="W274" s="1" t="b">
        <v>1</v>
      </c>
      <c r="X274" s="2">
        <v>45783</v>
      </c>
      <c r="Y274" s="1">
        <v>80</v>
      </c>
      <c r="Z274" s="1">
        <v>56</v>
      </c>
      <c r="AA274" s="1">
        <v>75</v>
      </c>
      <c r="AB274" s="1" t="b">
        <v>0</v>
      </c>
      <c r="AD274" s="1" t="b">
        <v>0</v>
      </c>
      <c r="AF274" s="1" t="s">
        <v>47</v>
      </c>
      <c r="AG274" s="1" t="s">
        <v>207</v>
      </c>
      <c r="AH274" s="1">
        <v>38</v>
      </c>
      <c r="AI274" s="1" t="s">
        <v>58</v>
      </c>
    </row>
    <row r="275" spans="1:35" ht="12.5" hidden="1" x14ac:dyDescent="0.25">
      <c r="A275" s="1">
        <v>271</v>
      </c>
      <c r="B275" s="1" t="s">
        <v>877</v>
      </c>
      <c r="C275" s="1" t="s">
        <v>878</v>
      </c>
      <c r="D275" s="1" t="s">
        <v>121</v>
      </c>
      <c r="E275" s="1" t="s">
        <v>62</v>
      </c>
      <c r="F275" s="1" t="s">
        <v>39</v>
      </c>
      <c r="G275" s="1" t="s">
        <v>40</v>
      </c>
      <c r="H275" s="1" t="s">
        <v>65</v>
      </c>
      <c r="I275" s="1" t="s">
        <v>42</v>
      </c>
      <c r="J275" s="1">
        <v>5.9</v>
      </c>
      <c r="K275" s="1" t="s">
        <v>394</v>
      </c>
      <c r="L275" s="1" t="s">
        <v>55</v>
      </c>
      <c r="M275" s="1" t="s">
        <v>146</v>
      </c>
      <c r="N275" s="1" t="s">
        <v>92</v>
      </c>
      <c r="O275" s="2">
        <v>45770</v>
      </c>
      <c r="P275" s="2">
        <v>45775</v>
      </c>
      <c r="Q275" s="1" t="b">
        <v>1</v>
      </c>
      <c r="R275" s="1">
        <v>10</v>
      </c>
      <c r="S275" s="1" t="b">
        <v>1</v>
      </c>
      <c r="T275" s="2">
        <v>45778</v>
      </c>
      <c r="U275" s="1" t="b">
        <v>1</v>
      </c>
      <c r="V275" s="2">
        <v>45789</v>
      </c>
      <c r="W275" s="1" t="b">
        <v>1</v>
      </c>
      <c r="X275" s="2">
        <v>45797</v>
      </c>
      <c r="Y275" s="1">
        <v>60</v>
      </c>
      <c r="Z275" s="1">
        <v>60</v>
      </c>
      <c r="AA275" s="1">
        <v>55</v>
      </c>
      <c r="AB275" s="1" t="b">
        <v>0</v>
      </c>
      <c r="AD275" s="1" t="b">
        <v>0</v>
      </c>
      <c r="AF275" s="1" t="s">
        <v>47</v>
      </c>
      <c r="AG275" s="1" t="s">
        <v>176</v>
      </c>
      <c r="AH275" s="1">
        <v>27</v>
      </c>
      <c r="AI275" s="1" t="s">
        <v>58</v>
      </c>
    </row>
    <row r="276" spans="1:35" ht="12.5" hidden="1" x14ac:dyDescent="0.25">
      <c r="A276" s="1">
        <v>272</v>
      </c>
      <c r="B276" s="1" t="s">
        <v>879</v>
      </c>
      <c r="C276" s="1" t="s">
        <v>880</v>
      </c>
      <c r="D276" s="1" t="s">
        <v>322</v>
      </c>
      <c r="E276" s="1" t="s">
        <v>52</v>
      </c>
      <c r="F276" s="1" t="s">
        <v>63</v>
      </c>
      <c r="G276" s="1" t="s">
        <v>64</v>
      </c>
      <c r="H276" s="1" t="s">
        <v>88</v>
      </c>
      <c r="I276" s="1" t="s">
        <v>53</v>
      </c>
      <c r="J276" s="1">
        <v>3.3</v>
      </c>
      <c r="K276" s="1" t="s">
        <v>192</v>
      </c>
      <c r="L276" s="1" t="s">
        <v>141</v>
      </c>
      <c r="M276" s="1" t="s">
        <v>56</v>
      </c>
      <c r="N276" s="1" t="s">
        <v>46</v>
      </c>
      <c r="O276" s="2">
        <v>45774</v>
      </c>
      <c r="P276" s="2">
        <v>45778</v>
      </c>
      <c r="Q276" s="1" t="b">
        <v>1</v>
      </c>
      <c r="R276" s="1">
        <v>3</v>
      </c>
      <c r="S276" s="1" t="b">
        <v>0</v>
      </c>
      <c r="U276" s="1" t="b">
        <v>0</v>
      </c>
      <c r="W276" s="1" t="b">
        <v>0</v>
      </c>
      <c r="Y276" s="1">
        <v>74</v>
      </c>
      <c r="Z276" s="1">
        <v>78</v>
      </c>
      <c r="AA276" s="1">
        <v>77</v>
      </c>
      <c r="AB276" s="1" t="b">
        <v>0</v>
      </c>
      <c r="AD276" s="1" t="b">
        <v>0</v>
      </c>
      <c r="AF276" s="1" t="s">
        <v>57</v>
      </c>
      <c r="AH276" s="1">
        <v>4</v>
      </c>
      <c r="AI276" s="1" t="s">
        <v>93</v>
      </c>
    </row>
    <row r="277" spans="1:35" ht="12.5" hidden="1" x14ac:dyDescent="0.25">
      <c r="A277" s="1">
        <v>273</v>
      </c>
      <c r="B277" s="1" t="s">
        <v>881</v>
      </c>
      <c r="C277" s="1" t="s">
        <v>882</v>
      </c>
      <c r="D277" s="1" t="s">
        <v>580</v>
      </c>
      <c r="E277" s="1" t="s">
        <v>52</v>
      </c>
      <c r="F277" s="1" t="s">
        <v>111</v>
      </c>
      <c r="G277" s="1" t="s">
        <v>75</v>
      </c>
      <c r="H277" s="1" t="s">
        <v>88</v>
      </c>
      <c r="I277" s="1" t="s">
        <v>53</v>
      </c>
      <c r="J277" s="1">
        <v>5.7</v>
      </c>
      <c r="K277" s="1" t="s">
        <v>868</v>
      </c>
      <c r="L277" s="1" t="s">
        <v>141</v>
      </c>
      <c r="M277" s="1" t="s">
        <v>129</v>
      </c>
      <c r="N277" s="1" t="s">
        <v>46</v>
      </c>
      <c r="O277" s="2">
        <v>45766</v>
      </c>
      <c r="P277" s="2">
        <v>45766</v>
      </c>
      <c r="Q277" s="1" t="b">
        <v>1</v>
      </c>
      <c r="R277" s="1">
        <v>1</v>
      </c>
      <c r="S277" s="1" t="b">
        <v>1</v>
      </c>
      <c r="T277" s="2">
        <v>45767</v>
      </c>
      <c r="U277" s="1" t="b">
        <v>1</v>
      </c>
      <c r="V277" s="2">
        <v>45771</v>
      </c>
      <c r="W277" s="1" t="b">
        <v>1</v>
      </c>
      <c r="X277" s="2">
        <v>45778</v>
      </c>
      <c r="Y277" s="1">
        <v>67</v>
      </c>
      <c r="Z277" s="1">
        <v>69</v>
      </c>
      <c r="AA277" s="1">
        <v>72</v>
      </c>
      <c r="AB277" s="1" t="b">
        <v>0</v>
      </c>
      <c r="AD277" s="1" t="b">
        <v>0</v>
      </c>
      <c r="AF277" s="1" t="s">
        <v>47</v>
      </c>
      <c r="AH277" s="1">
        <v>12</v>
      </c>
      <c r="AI277" s="1" t="s">
        <v>48</v>
      </c>
    </row>
    <row r="278" spans="1:35" ht="12.5" hidden="1" x14ac:dyDescent="0.25">
      <c r="A278" s="1">
        <v>274</v>
      </c>
      <c r="B278" s="1" t="s">
        <v>883</v>
      </c>
      <c r="C278" s="1" t="s">
        <v>884</v>
      </c>
      <c r="D278" s="1" t="s">
        <v>138</v>
      </c>
      <c r="E278" s="1" t="s">
        <v>62</v>
      </c>
      <c r="F278" s="1" t="s">
        <v>39</v>
      </c>
      <c r="G278" s="1" t="s">
        <v>139</v>
      </c>
      <c r="H278" s="1" t="s">
        <v>65</v>
      </c>
      <c r="I278" s="1" t="s">
        <v>53</v>
      </c>
      <c r="J278" s="1">
        <v>6.3</v>
      </c>
      <c r="K278" s="1" t="s">
        <v>885</v>
      </c>
      <c r="L278" s="1" t="s">
        <v>141</v>
      </c>
      <c r="M278" s="1" t="s">
        <v>115</v>
      </c>
      <c r="N278" s="1" t="s">
        <v>116</v>
      </c>
      <c r="O278" s="2">
        <v>45782</v>
      </c>
      <c r="P278" s="2">
        <v>45782</v>
      </c>
      <c r="Q278" s="1" t="b">
        <v>1</v>
      </c>
      <c r="R278" s="1">
        <v>6</v>
      </c>
      <c r="S278" s="1" t="b">
        <v>1</v>
      </c>
      <c r="T278" s="2">
        <v>45788</v>
      </c>
      <c r="U278" s="1" t="b">
        <v>1</v>
      </c>
      <c r="V278" s="2">
        <v>45798</v>
      </c>
      <c r="W278" s="1" t="b">
        <v>1</v>
      </c>
      <c r="X278" s="2">
        <v>45807</v>
      </c>
      <c r="Y278" s="1">
        <v>61</v>
      </c>
      <c r="Z278" s="1">
        <v>84</v>
      </c>
      <c r="AA278" s="1">
        <v>87</v>
      </c>
      <c r="AB278" s="1" t="b">
        <v>0</v>
      </c>
      <c r="AD278" s="1" t="b">
        <v>0</v>
      </c>
      <c r="AF278" s="1" t="s">
        <v>47</v>
      </c>
      <c r="AG278" s="1" t="s">
        <v>117</v>
      </c>
      <c r="AH278" s="1">
        <v>25</v>
      </c>
      <c r="AI278" s="1" t="s">
        <v>118</v>
      </c>
    </row>
    <row r="279" spans="1:35" ht="12.5" x14ac:dyDescent="0.25">
      <c r="A279" s="1">
        <v>275</v>
      </c>
      <c r="B279" s="1" t="s">
        <v>886</v>
      </c>
      <c r="C279" s="1" t="s">
        <v>887</v>
      </c>
      <c r="D279" s="1" t="s">
        <v>850</v>
      </c>
      <c r="E279" s="1" t="s">
        <v>38</v>
      </c>
      <c r="F279" s="1" t="s">
        <v>63</v>
      </c>
      <c r="G279" s="1" t="s">
        <v>40</v>
      </c>
      <c r="H279" s="1" t="s">
        <v>41</v>
      </c>
      <c r="I279" s="1" t="s">
        <v>53</v>
      </c>
      <c r="J279" s="1">
        <v>5.2</v>
      </c>
      <c r="K279" s="1" t="s">
        <v>888</v>
      </c>
      <c r="L279" s="1" t="s">
        <v>114</v>
      </c>
      <c r="M279" s="1" t="s">
        <v>115</v>
      </c>
      <c r="N279" s="1" t="s">
        <v>84</v>
      </c>
      <c r="O279" s="2">
        <v>45751</v>
      </c>
      <c r="P279" s="2">
        <v>45757</v>
      </c>
      <c r="Q279" s="1" t="b">
        <v>0</v>
      </c>
      <c r="S279" s="1" t="b">
        <v>0</v>
      </c>
      <c r="U279" s="1" t="b">
        <v>0</v>
      </c>
      <c r="W279" s="1" t="b">
        <v>0</v>
      </c>
      <c r="Y279" s="1">
        <v>86</v>
      </c>
      <c r="Z279" s="1">
        <v>72</v>
      </c>
      <c r="AA279" s="1">
        <v>78</v>
      </c>
      <c r="AB279" s="1" t="b">
        <v>0</v>
      </c>
      <c r="AD279" s="1" t="b">
        <v>0</v>
      </c>
      <c r="AF279" s="1" t="s">
        <v>77</v>
      </c>
      <c r="AG279" s="1" t="s">
        <v>69</v>
      </c>
      <c r="AH279" s="1">
        <v>6</v>
      </c>
      <c r="AI279" s="1" t="s">
        <v>93</v>
      </c>
    </row>
    <row r="280" spans="1:35" ht="12.5" hidden="1" x14ac:dyDescent="0.25">
      <c r="A280" s="1">
        <v>276</v>
      </c>
      <c r="B280" s="1" t="s">
        <v>889</v>
      </c>
      <c r="C280" s="1" t="s">
        <v>890</v>
      </c>
      <c r="D280" s="1" t="s">
        <v>664</v>
      </c>
      <c r="E280" s="1" t="s">
        <v>62</v>
      </c>
      <c r="F280" s="1" t="s">
        <v>111</v>
      </c>
      <c r="G280" s="1" t="s">
        <v>40</v>
      </c>
      <c r="H280" s="1" t="s">
        <v>88</v>
      </c>
      <c r="I280" s="1" t="s">
        <v>82</v>
      </c>
      <c r="J280" s="1">
        <v>0.3</v>
      </c>
      <c r="K280" s="1" t="s">
        <v>891</v>
      </c>
      <c r="L280" s="1" t="s">
        <v>90</v>
      </c>
      <c r="M280" s="1" t="s">
        <v>123</v>
      </c>
      <c r="N280" s="1" t="s">
        <v>84</v>
      </c>
      <c r="O280" s="2">
        <v>45808</v>
      </c>
      <c r="P280" s="2">
        <v>45808</v>
      </c>
      <c r="Q280" s="1" t="b">
        <v>1</v>
      </c>
      <c r="R280" s="1">
        <v>7</v>
      </c>
      <c r="S280" s="1" t="b">
        <v>1</v>
      </c>
      <c r="T280" s="2">
        <v>45811</v>
      </c>
      <c r="U280" s="1" t="b">
        <v>1</v>
      </c>
      <c r="V280" s="2">
        <v>45814</v>
      </c>
      <c r="W280" s="1" t="b">
        <v>1</v>
      </c>
      <c r="X280" s="2">
        <v>45820</v>
      </c>
      <c r="Y280" s="1">
        <v>53</v>
      </c>
      <c r="Z280" s="1">
        <v>58</v>
      </c>
      <c r="AA280" s="1">
        <v>62</v>
      </c>
      <c r="AB280" s="1" t="b">
        <v>0</v>
      </c>
      <c r="AD280" s="1" t="b">
        <v>0</v>
      </c>
      <c r="AF280" s="1" t="s">
        <v>47</v>
      </c>
      <c r="AH280" s="1">
        <v>12</v>
      </c>
      <c r="AI280" s="1" t="s">
        <v>215</v>
      </c>
    </row>
    <row r="281" spans="1:35" ht="12.5" x14ac:dyDescent="0.25">
      <c r="A281" s="1">
        <v>277</v>
      </c>
      <c r="B281" s="1" t="s">
        <v>892</v>
      </c>
      <c r="C281" s="1" t="s">
        <v>893</v>
      </c>
      <c r="D281" s="1" t="s">
        <v>256</v>
      </c>
      <c r="E281" s="1" t="s">
        <v>38</v>
      </c>
      <c r="F281" s="1" t="s">
        <v>111</v>
      </c>
      <c r="G281" s="1" t="s">
        <v>75</v>
      </c>
      <c r="H281" s="1" t="s">
        <v>88</v>
      </c>
      <c r="I281" s="1" t="s">
        <v>42</v>
      </c>
      <c r="J281" s="1">
        <v>4</v>
      </c>
      <c r="K281" s="1" t="s">
        <v>657</v>
      </c>
      <c r="L281" s="1" t="s">
        <v>67</v>
      </c>
      <c r="M281" s="1" t="s">
        <v>91</v>
      </c>
      <c r="N281" s="1" t="s">
        <v>46</v>
      </c>
      <c r="O281" s="2">
        <v>45766</v>
      </c>
      <c r="P281" s="2">
        <v>45769</v>
      </c>
      <c r="Q281" s="1" t="b">
        <v>0</v>
      </c>
      <c r="S281" s="1" t="b">
        <v>0</v>
      </c>
      <c r="U281" s="1" t="b">
        <v>0</v>
      </c>
      <c r="W281" s="1" t="b">
        <v>0</v>
      </c>
      <c r="Y281" s="1">
        <v>72</v>
      </c>
      <c r="Z281" s="1">
        <v>84</v>
      </c>
      <c r="AA281" s="1">
        <v>76</v>
      </c>
      <c r="AB281" s="1" t="b">
        <v>0</v>
      </c>
      <c r="AD281" s="1" t="b">
        <v>0</v>
      </c>
      <c r="AF281" s="1" t="s">
        <v>77</v>
      </c>
      <c r="AG281" s="1" t="s">
        <v>69</v>
      </c>
      <c r="AH281" s="1">
        <v>3</v>
      </c>
      <c r="AI281" s="1" t="s">
        <v>58</v>
      </c>
    </row>
    <row r="282" spans="1:35" ht="12.5" x14ac:dyDescent="0.25">
      <c r="A282" s="1">
        <v>278</v>
      </c>
      <c r="B282" s="1" t="s">
        <v>894</v>
      </c>
      <c r="C282" s="1" t="s">
        <v>895</v>
      </c>
      <c r="D282" s="1" t="s">
        <v>267</v>
      </c>
      <c r="E282" s="1" t="s">
        <v>62</v>
      </c>
      <c r="F282" s="1" t="s">
        <v>74</v>
      </c>
      <c r="G282" s="1" t="s">
        <v>139</v>
      </c>
      <c r="H282" s="1" t="s">
        <v>41</v>
      </c>
      <c r="I282" s="1" t="s">
        <v>53</v>
      </c>
      <c r="J282" s="1">
        <v>5.0999999999999996</v>
      </c>
      <c r="K282" s="1" t="s">
        <v>83</v>
      </c>
      <c r="L282" s="1" t="s">
        <v>67</v>
      </c>
      <c r="M282" s="1" t="s">
        <v>56</v>
      </c>
      <c r="N282" s="1" t="s">
        <v>84</v>
      </c>
      <c r="O282" s="2">
        <v>45683</v>
      </c>
      <c r="P282" s="2">
        <v>45685</v>
      </c>
      <c r="Q282" s="1" t="b">
        <v>0</v>
      </c>
      <c r="S282" s="1" t="b">
        <v>0</v>
      </c>
      <c r="U282" s="1" t="b">
        <v>0</v>
      </c>
      <c r="W282" s="1" t="b">
        <v>0</v>
      </c>
      <c r="Y282" s="1">
        <v>60</v>
      </c>
      <c r="Z282" s="1">
        <v>66</v>
      </c>
      <c r="AA282" s="1">
        <v>60</v>
      </c>
      <c r="AB282" s="1" t="b">
        <v>0</v>
      </c>
      <c r="AD282" s="1" t="b">
        <v>0</v>
      </c>
      <c r="AF282" s="1" t="s">
        <v>77</v>
      </c>
      <c r="AG282" s="1" t="s">
        <v>69</v>
      </c>
      <c r="AH282" s="1">
        <v>2</v>
      </c>
      <c r="AI282" s="1" t="s">
        <v>165</v>
      </c>
    </row>
    <row r="283" spans="1:35" ht="12.5" hidden="1" x14ac:dyDescent="0.25">
      <c r="A283" s="1">
        <v>279</v>
      </c>
      <c r="B283" s="1" t="s">
        <v>896</v>
      </c>
      <c r="C283" s="1" t="s">
        <v>897</v>
      </c>
      <c r="D283" s="1" t="s">
        <v>81</v>
      </c>
      <c r="E283" s="1" t="s">
        <v>38</v>
      </c>
      <c r="F283" s="1" t="s">
        <v>63</v>
      </c>
      <c r="G283" s="1" t="s">
        <v>64</v>
      </c>
      <c r="H283" s="1" t="s">
        <v>65</v>
      </c>
      <c r="I283" s="1" t="s">
        <v>53</v>
      </c>
      <c r="J283" s="1">
        <v>4.7</v>
      </c>
      <c r="K283" s="1" t="s">
        <v>349</v>
      </c>
      <c r="L283" s="1" t="s">
        <v>67</v>
      </c>
      <c r="M283" s="1" t="s">
        <v>115</v>
      </c>
      <c r="N283" s="1" t="s">
        <v>92</v>
      </c>
      <c r="O283" s="2">
        <v>45701</v>
      </c>
      <c r="P283" s="2">
        <v>45701</v>
      </c>
      <c r="Q283" s="1" t="b">
        <v>1</v>
      </c>
      <c r="R283" s="1">
        <v>7</v>
      </c>
      <c r="S283" s="1" t="b">
        <v>1</v>
      </c>
      <c r="T283" s="2">
        <v>45704</v>
      </c>
      <c r="U283" s="1" t="b">
        <v>1</v>
      </c>
      <c r="V283" s="2">
        <v>45717</v>
      </c>
      <c r="W283" s="1" t="b">
        <v>1</v>
      </c>
      <c r="X283" s="2">
        <v>45724</v>
      </c>
      <c r="Y283" s="1">
        <v>84</v>
      </c>
      <c r="Z283" s="1">
        <v>62</v>
      </c>
      <c r="AA283" s="1">
        <v>76</v>
      </c>
      <c r="AB283" s="1" t="b">
        <v>0</v>
      </c>
      <c r="AD283" s="1" t="b">
        <v>0</v>
      </c>
      <c r="AF283" s="1" t="s">
        <v>47</v>
      </c>
      <c r="AG283" s="1" t="s">
        <v>287</v>
      </c>
      <c r="AH283" s="1">
        <v>23</v>
      </c>
      <c r="AI283" s="1" t="s">
        <v>215</v>
      </c>
    </row>
    <row r="284" spans="1:35" ht="12.5" hidden="1" x14ac:dyDescent="0.25">
      <c r="A284" s="1">
        <v>280</v>
      </c>
      <c r="B284" s="1" t="s">
        <v>898</v>
      </c>
      <c r="C284" s="1" t="s">
        <v>899</v>
      </c>
      <c r="D284" s="1" t="s">
        <v>348</v>
      </c>
      <c r="E284" s="1" t="s">
        <v>52</v>
      </c>
      <c r="F284" s="1" t="s">
        <v>74</v>
      </c>
      <c r="G284" s="1" t="s">
        <v>97</v>
      </c>
      <c r="H284" s="1" t="s">
        <v>41</v>
      </c>
      <c r="I284" s="1" t="s">
        <v>42</v>
      </c>
      <c r="J284" s="1">
        <v>7</v>
      </c>
      <c r="K284" s="1" t="s">
        <v>140</v>
      </c>
      <c r="L284" s="1" t="s">
        <v>90</v>
      </c>
      <c r="M284" s="1" t="s">
        <v>45</v>
      </c>
      <c r="N284" s="1" t="s">
        <v>116</v>
      </c>
      <c r="O284" s="2">
        <v>45754</v>
      </c>
      <c r="P284" s="2">
        <v>45765</v>
      </c>
      <c r="Q284" s="1" t="b">
        <v>1</v>
      </c>
      <c r="R284" s="1">
        <v>6</v>
      </c>
      <c r="S284" s="1" t="b">
        <v>0</v>
      </c>
      <c r="U284" s="1" t="b">
        <v>0</v>
      </c>
      <c r="W284" s="1" t="b">
        <v>0</v>
      </c>
      <c r="Y284" s="1">
        <v>40</v>
      </c>
      <c r="Z284" s="1">
        <v>82</v>
      </c>
      <c r="AA284" s="1">
        <v>74</v>
      </c>
      <c r="AB284" s="1" t="b">
        <v>0</v>
      </c>
      <c r="AD284" s="1" t="b">
        <v>0</v>
      </c>
      <c r="AF284" s="1" t="s">
        <v>57</v>
      </c>
      <c r="AG284" s="1" t="s">
        <v>176</v>
      </c>
      <c r="AH284" s="1">
        <v>11</v>
      </c>
      <c r="AI284" s="1" t="s">
        <v>48</v>
      </c>
    </row>
    <row r="285" spans="1:35" ht="12.5" hidden="1" x14ac:dyDescent="0.25">
      <c r="A285" s="1">
        <v>281</v>
      </c>
      <c r="B285" s="1" t="s">
        <v>900</v>
      </c>
      <c r="C285" s="1" t="s">
        <v>901</v>
      </c>
      <c r="D285" s="1" t="s">
        <v>229</v>
      </c>
      <c r="E285" s="1" t="s">
        <v>62</v>
      </c>
      <c r="F285" s="1" t="s">
        <v>63</v>
      </c>
      <c r="G285" s="1" t="s">
        <v>64</v>
      </c>
      <c r="H285" s="1" t="s">
        <v>88</v>
      </c>
      <c r="I285" s="1" t="s">
        <v>42</v>
      </c>
      <c r="J285" s="1">
        <v>8.8000000000000007</v>
      </c>
      <c r="K285" s="1" t="s">
        <v>902</v>
      </c>
      <c r="L285" s="1" t="s">
        <v>90</v>
      </c>
      <c r="M285" s="1" t="s">
        <v>115</v>
      </c>
      <c r="N285" s="1" t="s">
        <v>116</v>
      </c>
      <c r="O285" s="2">
        <v>45802</v>
      </c>
      <c r="P285" s="2">
        <v>45802</v>
      </c>
      <c r="Q285" s="1" t="b">
        <v>1</v>
      </c>
      <c r="R285" s="1">
        <v>5</v>
      </c>
      <c r="S285" s="1" t="b">
        <v>1</v>
      </c>
      <c r="T285" s="2">
        <v>45806</v>
      </c>
      <c r="U285" s="1" t="b">
        <v>1</v>
      </c>
      <c r="V285" s="2">
        <v>45810</v>
      </c>
      <c r="W285" s="1" t="b">
        <v>1</v>
      </c>
      <c r="X285" s="2">
        <v>45812</v>
      </c>
      <c r="Y285" s="1">
        <v>88</v>
      </c>
      <c r="Z285" s="1">
        <v>63</v>
      </c>
      <c r="AA285" s="1">
        <v>75</v>
      </c>
      <c r="AB285" s="1" t="b">
        <v>0</v>
      </c>
      <c r="AD285" s="1" t="b">
        <v>0</v>
      </c>
      <c r="AF285" s="1" t="s">
        <v>47</v>
      </c>
      <c r="AG285" s="1" t="s">
        <v>176</v>
      </c>
      <c r="AH285" s="1">
        <v>10</v>
      </c>
      <c r="AI285" s="1" t="s">
        <v>135</v>
      </c>
    </row>
    <row r="286" spans="1:35" ht="12.5" hidden="1" x14ac:dyDescent="0.25">
      <c r="A286" s="1">
        <v>282</v>
      </c>
      <c r="B286" s="1" t="s">
        <v>903</v>
      </c>
      <c r="C286" s="1" t="s">
        <v>904</v>
      </c>
      <c r="D286" s="1" t="s">
        <v>253</v>
      </c>
      <c r="E286" s="1" t="s">
        <v>38</v>
      </c>
      <c r="F286" s="1" t="s">
        <v>74</v>
      </c>
      <c r="G286" s="1" t="s">
        <v>112</v>
      </c>
      <c r="H286" s="1" t="s">
        <v>65</v>
      </c>
      <c r="I286" s="1" t="s">
        <v>82</v>
      </c>
      <c r="J286" s="1">
        <v>0.8</v>
      </c>
      <c r="K286" s="1" t="s">
        <v>905</v>
      </c>
      <c r="L286" s="1" t="s">
        <v>141</v>
      </c>
      <c r="M286" s="1" t="s">
        <v>146</v>
      </c>
      <c r="N286" s="1" t="s">
        <v>116</v>
      </c>
      <c r="O286" s="2">
        <v>45660</v>
      </c>
      <c r="P286" s="2">
        <v>45661</v>
      </c>
      <c r="Q286" s="1" t="b">
        <v>1</v>
      </c>
      <c r="R286" s="1">
        <v>9</v>
      </c>
      <c r="S286" s="1" t="b">
        <v>1</v>
      </c>
      <c r="T286" s="2">
        <v>45664</v>
      </c>
      <c r="U286" s="1" t="b">
        <v>1</v>
      </c>
      <c r="V286" s="2">
        <v>45678</v>
      </c>
      <c r="W286" s="1" t="b">
        <v>1</v>
      </c>
      <c r="X286" s="2">
        <v>45679</v>
      </c>
      <c r="Y286" s="1">
        <v>79</v>
      </c>
      <c r="Z286" s="1">
        <v>88</v>
      </c>
      <c r="AA286" s="1">
        <v>70</v>
      </c>
      <c r="AB286" s="1" t="b">
        <v>1</v>
      </c>
      <c r="AC286" s="2">
        <v>45685</v>
      </c>
      <c r="AD286" s="1" t="b">
        <v>1</v>
      </c>
      <c r="AE286" s="2">
        <v>45693</v>
      </c>
      <c r="AF286" s="1" t="s">
        <v>134</v>
      </c>
      <c r="AH286" s="1">
        <v>33</v>
      </c>
      <c r="AI286" s="1" t="s">
        <v>135</v>
      </c>
    </row>
    <row r="287" spans="1:35" ht="12.5" hidden="1" x14ac:dyDescent="0.25">
      <c r="A287" s="1">
        <v>283</v>
      </c>
      <c r="B287" s="1" t="s">
        <v>906</v>
      </c>
      <c r="C287" s="1" t="s">
        <v>907</v>
      </c>
      <c r="D287" s="1" t="s">
        <v>908</v>
      </c>
      <c r="E287" s="1" t="s">
        <v>52</v>
      </c>
      <c r="F287" s="1" t="s">
        <v>63</v>
      </c>
      <c r="G287" s="1" t="s">
        <v>40</v>
      </c>
      <c r="H287" s="1" t="s">
        <v>88</v>
      </c>
      <c r="I287" s="1" t="s">
        <v>53</v>
      </c>
      <c r="J287" s="1">
        <v>6.6</v>
      </c>
      <c r="K287" s="1" t="s">
        <v>909</v>
      </c>
      <c r="L287" s="1" t="s">
        <v>141</v>
      </c>
      <c r="M287" s="1" t="s">
        <v>123</v>
      </c>
      <c r="N287" s="1" t="s">
        <v>46</v>
      </c>
      <c r="O287" s="2">
        <v>45757</v>
      </c>
      <c r="P287" s="2">
        <v>45762</v>
      </c>
      <c r="Q287" s="1" t="b">
        <v>1</v>
      </c>
      <c r="R287" s="1">
        <v>6</v>
      </c>
      <c r="S287" s="1" t="b">
        <v>1</v>
      </c>
      <c r="T287" s="2">
        <v>45772</v>
      </c>
      <c r="U287" s="1" t="b">
        <v>1</v>
      </c>
      <c r="V287" s="2">
        <v>45778</v>
      </c>
      <c r="W287" s="1" t="b">
        <v>1</v>
      </c>
      <c r="X287" s="2">
        <v>45786</v>
      </c>
      <c r="Y287" s="1">
        <v>81</v>
      </c>
      <c r="Z287" s="1">
        <v>66</v>
      </c>
      <c r="AA287" s="1">
        <v>77</v>
      </c>
      <c r="AB287" s="1" t="b">
        <v>0</v>
      </c>
      <c r="AD287" s="1" t="b">
        <v>0</v>
      </c>
      <c r="AF287" s="1" t="s">
        <v>47</v>
      </c>
      <c r="AG287" s="1" t="s">
        <v>361</v>
      </c>
      <c r="AH287" s="1">
        <v>29</v>
      </c>
      <c r="AI287" s="1" t="s">
        <v>157</v>
      </c>
    </row>
    <row r="288" spans="1:35" ht="12.5" x14ac:dyDescent="0.25">
      <c r="A288" s="1">
        <v>284</v>
      </c>
      <c r="B288" s="1" t="s">
        <v>910</v>
      </c>
      <c r="C288" s="1" t="s">
        <v>911</v>
      </c>
      <c r="D288" s="1" t="s">
        <v>633</v>
      </c>
      <c r="E288" s="1" t="s">
        <v>52</v>
      </c>
      <c r="F288" s="1" t="s">
        <v>74</v>
      </c>
      <c r="G288" s="1" t="s">
        <v>40</v>
      </c>
      <c r="H288" s="1" t="s">
        <v>65</v>
      </c>
      <c r="I288" s="1" t="s">
        <v>82</v>
      </c>
      <c r="J288" s="1">
        <v>0</v>
      </c>
      <c r="K288" s="1" t="s">
        <v>443</v>
      </c>
      <c r="L288" s="1" t="s">
        <v>44</v>
      </c>
      <c r="M288" s="1" t="s">
        <v>56</v>
      </c>
      <c r="N288" s="1" t="s">
        <v>92</v>
      </c>
      <c r="O288" s="2">
        <v>45734</v>
      </c>
      <c r="P288" s="2">
        <v>45735</v>
      </c>
      <c r="Q288" s="1" t="b">
        <v>0</v>
      </c>
      <c r="S288" s="1" t="b">
        <v>0</v>
      </c>
      <c r="U288" s="1" t="b">
        <v>0</v>
      </c>
      <c r="W288" s="1" t="b">
        <v>0</v>
      </c>
      <c r="Y288" s="1">
        <v>68</v>
      </c>
      <c r="Z288" s="1">
        <v>68</v>
      </c>
      <c r="AA288" s="1">
        <v>63</v>
      </c>
      <c r="AB288" s="1" t="b">
        <v>0</v>
      </c>
      <c r="AD288" s="1" t="b">
        <v>0</v>
      </c>
      <c r="AF288" s="1" t="s">
        <v>77</v>
      </c>
      <c r="AG288" s="1" t="s">
        <v>69</v>
      </c>
      <c r="AH288" s="1">
        <v>1</v>
      </c>
      <c r="AI288" s="1" t="s">
        <v>58</v>
      </c>
    </row>
    <row r="289" spans="1:35" ht="12.5" hidden="1" x14ac:dyDescent="0.25">
      <c r="A289" s="1">
        <v>285</v>
      </c>
      <c r="B289" s="1" t="s">
        <v>912</v>
      </c>
      <c r="C289" s="1" t="s">
        <v>913</v>
      </c>
      <c r="D289" s="1" t="s">
        <v>282</v>
      </c>
      <c r="E289" s="1" t="s">
        <v>62</v>
      </c>
      <c r="F289" s="1" t="s">
        <v>63</v>
      </c>
      <c r="G289" s="1" t="s">
        <v>40</v>
      </c>
      <c r="H289" s="1" t="s">
        <v>88</v>
      </c>
      <c r="I289" s="1" t="s">
        <v>82</v>
      </c>
      <c r="J289" s="1">
        <v>2.4</v>
      </c>
      <c r="K289" s="1" t="s">
        <v>538</v>
      </c>
      <c r="L289" s="1" t="s">
        <v>141</v>
      </c>
      <c r="M289" s="1" t="s">
        <v>56</v>
      </c>
      <c r="N289" s="1" t="s">
        <v>84</v>
      </c>
      <c r="O289" s="2">
        <v>45694</v>
      </c>
      <c r="P289" s="2">
        <v>45700</v>
      </c>
      <c r="Q289" s="1" t="b">
        <v>1</v>
      </c>
      <c r="R289" s="1">
        <v>1</v>
      </c>
      <c r="S289" s="1" t="b">
        <v>0</v>
      </c>
      <c r="U289" s="1" t="b">
        <v>0</v>
      </c>
      <c r="W289" s="1" t="b">
        <v>0</v>
      </c>
      <c r="Y289" s="1">
        <v>51</v>
      </c>
      <c r="Z289" s="1">
        <v>81</v>
      </c>
      <c r="AA289" s="1">
        <v>68</v>
      </c>
      <c r="AB289" s="1" t="b">
        <v>0</v>
      </c>
      <c r="AD289" s="1" t="b">
        <v>0</v>
      </c>
      <c r="AF289" s="1" t="s">
        <v>57</v>
      </c>
      <c r="AH289" s="1">
        <v>6</v>
      </c>
      <c r="AI289" s="1" t="s">
        <v>58</v>
      </c>
    </row>
    <row r="290" spans="1:35" ht="12.5" x14ac:dyDescent="0.25">
      <c r="A290" s="1">
        <v>286</v>
      </c>
      <c r="B290" s="1" t="s">
        <v>914</v>
      </c>
      <c r="C290" s="1" t="s">
        <v>915</v>
      </c>
      <c r="D290" s="1" t="s">
        <v>267</v>
      </c>
      <c r="E290" s="1" t="s">
        <v>62</v>
      </c>
      <c r="F290" s="1" t="s">
        <v>111</v>
      </c>
      <c r="G290" s="1" t="s">
        <v>139</v>
      </c>
      <c r="H290" s="1" t="s">
        <v>41</v>
      </c>
      <c r="I290" s="1" t="s">
        <v>53</v>
      </c>
      <c r="J290" s="1">
        <v>6</v>
      </c>
      <c r="K290" s="1" t="s">
        <v>916</v>
      </c>
      <c r="L290" s="1" t="s">
        <v>44</v>
      </c>
      <c r="M290" s="1" t="s">
        <v>56</v>
      </c>
      <c r="N290" s="1" t="s">
        <v>46</v>
      </c>
      <c r="O290" s="2">
        <v>45754</v>
      </c>
      <c r="P290" s="2">
        <v>45754</v>
      </c>
      <c r="Q290" s="1" t="b">
        <v>0</v>
      </c>
      <c r="S290" s="1" t="b">
        <v>0</v>
      </c>
      <c r="U290" s="1" t="b">
        <v>0</v>
      </c>
      <c r="W290" s="1" t="b">
        <v>0</v>
      </c>
      <c r="Y290" s="1">
        <v>77</v>
      </c>
      <c r="Z290" s="1">
        <v>93</v>
      </c>
      <c r="AA290" s="1">
        <v>91</v>
      </c>
      <c r="AB290" s="1" t="b">
        <v>0</v>
      </c>
      <c r="AD290" s="1" t="b">
        <v>0</v>
      </c>
      <c r="AF290" s="1" t="s">
        <v>77</v>
      </c>
      <c r="AG290" s="1" t="s">
        <v>69</v>
      </c>
      <c r="AH290" s="1">
        <v>0</v>
      </c>
      <c r="AI290" s="1" t="s">
        <v>48</v>
      </c>
    </row>
    <row r="291" spans="1:35" ht="12.5" hidden="1" x14ac:dyDescent="0.25">
      <c r="A291" s="1">
        <v>287</v>
      </c>
      <c r="B291" s="1" t="s">
        <v>917</v>
      </c>
      <c r="C291" s="1" t="s">
        <v>918</v>
      </c>
      <c r="D291" s="1" t="s">
        <v>218</v>
      </c>
      <c r="E291" s="1" t="s">
        <v>102</v>
      </c>
      <c r="F291" s="1" t="s">
        <v>74</v>
      </c>
      <c r="G291" s="1" t="s">
        <v>40</v>
      </c>
      <c r="H291" s="1" t="s">
        <v>41</v>
      </c>
      <c r="I291" s="1" t="s">
        <v>42</v>
      </c>
      <c r="J291" s="1">
        <v>9</v>
      </c>
      <c r="K291" s="1" t="s">
        <v>919</v>
      </c>
      <c r="L291" s="1" t="s">
        <v>141</v>
      </c>
      <c r="M291" s="1" t="s">
        <v>56</v>
      </c>
      <c r="N291" s="1" t="s">
        <v>116</v>
      </c>
      <c r="O291" s="2">
        <v>45769</v>
      </c>
      <c r="P291" s="2">
        <v>45772</v>
      </c>
      <c r="Q291" s="1" t="b">
        <v>1</v>
      </c>
      <c r="R291" s="1">
        <v>9</v>
      </c>
      <c r="S291" s="1" t="b">
        <v>1</v>
      </c>
      <c r="T291" s="2">
        <v>45780</v>
      </c>
      <c r="U291" s="1" t="b">
        <v>1</v>
      </c>
      <c r="V291" s="2">
        <v>45790</v>
      </c>
      <c r="W291" s="1" t="b">
        <v>1</v>
      </c>
      <c r="X291" s="2">
        <v>45795</v>
      </c>
      <c r="Y291" s="1">
        <v>67</v>
      </c>
      <c r="Z291" s="1">
        <v>85</v>
      </c>
      <c r="AA291" s="1">
        <v>85</v>
      </c>
      <c r="AB291" s="1" t="b">
        <v>0</v>
      </c>
      <c r="AD291" s="1" t="b">
        <v>0</v>
      </c>
      <c r="AF291" s="1" t="s">
        <v>47</v>
      </c>
      <c r="AH291" s="1">
        <v>26</v>
      </c>
      <c r="AI291" s="1" t="s">
        <v>118</v>
      </c>
    </row>
    <row r="292" spans="1:35" ht="12.5" hidden="1" x14ac:dyDescent="0.25">
      <c r="A292" s="1">
        <v>288</v>
      </c>
      <c r="B292" s="1" t="s">
        <v>920</v>
      </c>
      <c r="C292" s="1" t="s">
        <v>921</v>
      </c>
      <c r="D292" s="1" t="s">
        <v>568</v>
      </c>
      <c r="E292" s="1" t="s">
        <v>38</v>
      </c>
      <c r="F292" s="1" t="s">
        <v>63</v>
      </c>
      <c r="G292" s="1" t="s">
        <v>112</v>
      </c>
      <c r="H292" s="1" t="s">
        <v>41</v>
      </c>
      <c r="I292" s="1" t="s">
        <v>53</v>
      </c>
      <c r="J292" s="1">
        <v>4.7</v>
      </c>
      <c r="K292" s="1" t="s">
        <v>922</v>
      </c>
      <c r="L292" s="1" t="s">
        <v>55</v>
      </c>
      <c r="M292" s="1" t="s">
        <v>123</v>
      </c>
      <c r="N292" s="1" t="s">
        <v>116</v>
      </c>
      <c r="O292" s="2">
        <v>45679</v>
      </c>
      <c r="P292" s="2">
        <v>45685</v>
      </c>
      <c r="Q292" s="1" t="b">
        <v>1</v>
      </c>
      <c r="R292" s="1">
        <v>0</v>
      </c>
      <c r="S292" s="1" t="b">
        <v>1</v>
      </c>
      <c r="T292" s="2">
        <v>45695</v>
      </c>
      <c r="U292" s="1" t="b">
        <v>1</v>
      </c>
      <c r="V292" s="2">
        <v>45702</v>
      </c>
      <c r="W292" s="1" t="b">
        <v>1</v>
      </c>
      <c r="X292" s="2">
        <v>45710</v>
      </c>
      <c r="Y292" s="1">
        <v>64</v>
      </c>
      <c r="Z292" s="1">
        <v>78</v>
      </c>
      <c r="AA292" s="1">
        <v>72</v>
      </c>
      <c r="AB292" s="1" t="b">
        <v>0</v>
      </c>
      <c r="AD292" s="1" t="b">
        <v>0</v>
      </c>
      <c r="AF292" s="1" t="s">
        <v>47</v>
      </c>
      <c r="AG292" s="1" t="s">
        <v>287</v>
      </c>
      <c r="AH292" s="1">
        <v>31</v>
      </c>
      <c r="AI292" s="1" t="s">
        <v>157</v>
      </c>
    </row>
    <row r="293" spans="1:35" ht="12.5" hidden="1" x14ac:dyDescent="0.25">
      <c r="A293" s="1">
        <v>289</v>
      </c>
      <c r="B293" s="1" t="s">
        <v>923</v>
      </c>
      <c r="C293" s="1" t="s">
        <v>924</v>
      </c>
      <c r="D293" s="1" t="s">
        <v>557</v>
      </c>
      <c r="E293" s="1" t="s">
        <v>52</v>
      </c>
      <c r="F293" s="1" t="s">
        <v>111</v>
      </c>
      <c r="G293" s="1" t="s">
        <v>97</v>
      </c>
      <c r="H293" s="1" t="s">
        <v>65</v>
      </c>
      <c r="I293" s="1" t="s">
        <v>42</v>
      </c>
      <c r="J293" s="1">
        <v>9</v>
      </c>
      <c r="K293" s="1" t="s">
        <v>315</v>
      </c>
      <c r="L293" s="1" t="s">
        <v>44</v>
      </c>
      <c r="M293" s="1" t="s">
        <v>123</v>
      </c>
      <c r="N293" s="1" t="s">
        <v>92</v>
      </c>
      <c r="O293" s="2">
        <v>45803</v>
      </c>
      <c r="P293" s="2">
        <v>45806</v>
      </c>
      <c r="Q293" s="1" t="b">
        <v>1</v>
      </c>
      <c r="R293" s="1">
        <v>6</v>
      </c>
      <c r="S293" s="1" t="b">
        <v>1</v>
      </c>
      <c r="T293" s="2">
        <v>45808</v>
      </c>
      <c r="U293" s="1" t="b">
        <v>1</v>
      </c>
      <c r="V293" s="2">
        <v>45813</v>
      </c>
      <c r="W293" s="1" t="b">
        <v>1</v>
      </c>
      <c r="X293" s="2">
        <v>45819</v>
      </c>
      <c r="Y293" s="1">
        <v>62</v>
      </c>
      <c r="Z293" s="1">
        <v>91</v>
      </c>
      <c r="AA293" s="1">
        <v>88</v>
      </c>
      <c r="AB293" s="1" t="b">
        <v>0</v>
      </c>
      <c r="AD293" s="1" t="b">
        <v>0</v>
      </c>
      <c r="AF293" s="1" t="s">
        <v>47</v>
      </c>
      <c r="AG293" s="1" t="s">
        <v>124</v>
      </c>
      <c r="AH293" s="1">
        <v>16</v>
      </c>
      <c r="AI293" s="1" t="s">
        <v>157</v>
      </c>
    </row>
    <row r="294" spans="1:35" ht="12.5" hidden="1" x14ac:dyDescent="0.25">
      <c r="A294" s="1">
        <v>290</v>
      </c>
      <c r="B294" s="1" t="s">
        <v>925</v>
      </c>
      <c r="C294" s="1" t="s">
        <v>926</v>
      </c>
      <c r="D294" s="1" t="s">
        <v>81</v>
      </c>
      <c r="E294" s="1" t="s">
        <v>102</v>
      </c>
      <c r="F294" s="1" t="s">
        <v>63</v>
      </c>
      <c r="G294" s="1" t="s">
        <v>139</v>
      </c>
      <c r="H294" s="1" t="s">
        <v>41</v>
      </c>
      <c r="I294" s="1" t="s">
        <v>82</v>
      </c>
      <c r="J294" s="1">
        <v>0</v>
      </c>
      <c r="K294" s="1" t="s">
        <v>927</v>
      </c>
      <c r="L294" s="1" t="s">
        <v>90</v>
      </c>
      <c r="M294" s="1" t="s">
        <v>129</v>
      </c>
      <c r="N294" s="1" t="s">
        <v>116</v>
      </c>
      <c r="O294" s="2">
        <v>45767</v>
      </c>
      <c r="P294" s="2">
        <v>45767</v>
      </c>
      <c r="Q294" s="1" t="b">
        <v>1</v>
      </c>
      <c r="R294" s="1">
        <v>6</v>
      </c>
      <c r="S294" s="1" t="b">
        <v>1</v>
      </c>
      <c r="T294" s="2">
        <v>45768</v>
      </c>
      <c r="U294" s="1" t="b">
        <v>0</v>
      </c>
      <c r="W294" s="1" t="b">
        <v>0</v>
      </c>
      <c r="Y294" s="1">
        <v>67</v>
      </c>
      <c r="Z294" s="1">
        <v>66</v>
      </c>
      <c r="AA294" s="1">
        <v>69</v>
      </c>
      <c r="AB294" s="1" t="b">
        <v>0</v>
      </c>
      <c r="AD294" s="1" t="b">
        <v>0</v>
      </c>
      <c r="AF294" s="1" t="s">
        <v>151</v>
      </c>
      <c r="AH294" s="1">
        <v>1</v>
      </c>
      <c r="AI294" s="1" t="s">
        <v>135</v>
      </c>
    </row>
    <row r="295" spans="1:35" ht="12.5" hidden="1" x14ac:dyDescent="0.25">
      <c r="A295" s="1">
        <v>291</v>
      </c>
      <c r="B295" s="1" t="s">
        <v>928</v>
      </c>
      <c r="C295" s="1" t="s">
        <v>929</v>
      </c>
      <c r="D295" s="1" t="s">
        <v>598</v>
      </c>
      <c r="E295" s="1" t="s">
        <v>62</v>
      </c>
      <c r="F295" s="1" t="s">
        <v>74</v>
      </c>
      <c r="G295" s="1" t="s">
        <v>97</v>
      </c>
      <c r="H295" s="1" t="s">
        <v>65</v>
      </c>
      <c r="I295" s="1" t="s">
        <v>103</v>
      </c>
      <c r="J295" s="1">
        <v>9.4</v>
      </c>
      <c r="K295" s="1" t="s">
        <v>749</v>
      </c>
      <c r="L295" s="1" t="s">
        <v>67</v>
      </c>
      <c r="M295" s="1" t="s">
        <v>123</v>
      </c>
      <c r="N295" s="1" t="s">
        <v>46</v>
      </c>
      <c r="O295" s="2">
        <v>45675</v>
      </c>
      <c r="P295" s="2">
        <v>45678</v>
      </c>
      <c r="Q295" s="1" t="b">
        <v>1</v>
      </c>
      <c r="R295" s="1">
        <v>8</v>
      </c>
      <c r="S295" s="1" t="b">
        <v>1</v>
      </c>
      <c r="T295" s="2">
        <v>45686</v>
      </c>
      <c r="U295" s="1" t="b">
        <v>1</v>
      </c>
      <c r="V295" s="2">
        <v>45695</v>
      </c>
      <c r="W295" s="1" t="b">
        <v>0</v>
      </c>
      <c r="Y295" s="1">
        <v>72</v>
      </c>
      <c r="Z295" s="1">
        <v>66</v>
      </c>
      <c r="AA295" s="1">
        <v>63</v>
      </c>
      <c r="AB295" s="1" t="b">
        <v>0</v>
      </c>
      <c r="AD295" s="1" t="b">
        <v>0</v>
      </c>
      <c r="AF295" s="1" t="s">
        <v>105</v>
      </c>
      <c r="AH295" s="1">
        <v>20</v>
      </c>
      <c r="AI295" s="1" t="s">
        <v>118</v>
      </c>
    </row>
    <row r="296" spans="1:35" ht="12.5" hidden="1" x14ac:dyDescent="0.25">
      <c r="A296" s="1">
        <v>292</v>
      </c>
      <c r="B296" s="1" t="s">
        <v>930</v>
      </c>
      <c r="C296" s="1" t="s">
        <v>931</v>
      </c>
      <c r="D296" s="1" t="s">
        <v>305</v>
      </c>
      <c r="E296" s="1" t="s">
        <v>62</v>
      </c>
      <c r="F296" s="1" t="s">
        <v>111</v>
      </c>
      <c r="G296" s="1" t="s">
        <v>112</v>
      </c>
      <c r="H296" s="1" t="s">
        <v>65</v>
      </c>
      <c r="I296" s="1" t="s">
        <v>42</v>
      </c>
      <c r="J296" s="1">
        <v>10.8</v>
      </c>
      <c r="K296" s="1" t="s">
        <v>260</v>
      </c>
      <c r="L296" s="1" t="s">
        <v>141</v>
      </c>
      <c r="M296" s="1" t="s">
        <v>146</v>
      </c>
      <c r="N296" s="1" t="s">
        <v>84</v>
      </c>
      <c r="O296" s="2">
        <v>45737</v>
      </c>
      <c r="P296" s="2">
        <v>45739</v>
      </c>
      <c r="Q296" s="1" t="b">
        <v>1</v>
      </c>
      <c r="R296" s="1">
        <v>4</v>
      </c>
      <c r="S296" s="1" t="b">
        <v>1</v>
      </c>
      <c r="T296" s="2">
        <v>45742</v>
      </c>
      <c r="U296" s="1" t="b">
        <v>1</v>
      </c>
      <c r="V296" s="2">
        <v>45746</v>
      </c>
      <c r="W296" s="1" t="b">
        <v>1</v>
      </c>
      <c r="X296" s="2">
        <v>45755</v>
      </c>
      <c r="Y296" s="1">
        <v>82</v>
      </c>
      <c r="Z296" s="1">
        <v>68</v>
      </c>
      <c r="AA296" s="1">
        <v>57</v>
      </c>
      <c r="AB296" s="1" t="b">
        <v>0</v>
      </c>
      <c r="AD296" s="1" t="b">
        <v>0</v>
      </c>
      <c r="AF296" s="1" t="s">
        <v>47</v>
      </c>
      <c r="AH296" s="1">
        <v>18</v>
      </c>
      <c r="AI296" s="1" t="s">
        <v>165</v>
      </c>
    </row>
    <row r="297" spans="1:35" ht="12.5" x14ac:dyDescent="0.25">
      <c r="A297" s="1">
        <v>293</v>
      </c>
      <c r="B297" s="1" t="s">
        <v>932</v>
      </c>
      <c r="C297" s="1" t="s">
        <v>933</v>
      </c>
      <c r="D297" s="1" t="s">
        <v>164</v>
      </c>
      <c r="E297" s="1" t="s">
        <v>102</v>
      </c>
      <c r="F297" s="1" t="s">
        <v>63</v>
      </c>
      <c r="G297" s="1" t="s">
        <v>40</v>
      </c>
      <c r="H297" s="1" t="s">
        <v>65</v>
      </c>
      <c r="I297" s="1" t="s">
        <v>53</v>
      </c>
      <c r="J297" s="1">
        <v>2.4</v>
      </c>
      <c r="K297" s="1" t="s">
        <v>188</v>
      </c>
      <c r="L297" s="1" t="s">
        <v>55</v>
      </c>
      <c r="M297" s="1" t="s">
        <v>123</v>
      </c>
      <c r="N297" s="1" t="s">
        <v>46</v>
      </c>
      <c r="O297" s="2">
        <v>45661</v>
      </c>
      <c r="P297" s="2">
        <v>45667</v>
      </c>
      <c r="Q297" s="1" t="b">
        <v>0</v>
      </c>
      <c r="S297" s="1" t="b">
        <v>0</v>
      </c>
      <c r="U297" s="1" t="b">
        <v>0</v>
      </c>
      <c r="W297" s="1" t="b">
        <v>0</v>
      </c>
      <c r="Y297" s="1">
        <v>58</v>
      </c>
      <c r="Z297" s="1">
        <v>90</v>
      </c>
      <c r="AA297" s="1">
        <v>89</v>
      </c>
      <c r="AB297" s="1" t="b">
        <v>0</v>
      </c>
      <c r="AD297" s="1" t="b">
        <v>0</v>
      </c>
      <c r="AF297" s="1" t="s">
        <v>77</v>
      </c>
      <c r="AG297" s="1" t="s">
        <v>69</v>
      </c>
      <c r="AH297" s="1">
        <v>6</v>
      </c>
      <c r="AI297" s="1" t="s">
        <v>157</v>
      </c>
    </row>
    <row r="298" spans="1:35" ht="12.5" hidden="1" x14ac:dyDescent="0.25">
      <c r="A298" s="1">
        <v>294</v>
      </c>
      <c r="B298" s="1" t="s">
        <v>934</v>
      </c>
      <c r="C298" s="1" t="s">
        <v>935</v>
      </c>
      <c r="D298" s="1" t="s">
        <v>237</v>
      </c>
      <c r="E298" s="1" t="s">
        <v>62</v>
      </c>
      <c r="F298" s="1" t="s">
        <v>39</v>
      </c>
      <c r="G298" s="1" t="s">
        <v>97</v>
      </c>
      <c r="H298" s="1" t="s">
        <v>88</v>
      </c>
      <c r="I298" s="1" t="s">
        <v>82</v>
      </c>
      <c r="J298" s="1">
        <v>2.5</v>
      </c>
      <c r="K298" s="1" t="s">
        <v>727</v>
      </c>
      <c r="L298" s="1" t="s">
        <v>141</v>
      </c>
      <c r="M298" s="1" t="s">
        <v>68</v>
      </c>
      <c r="N298" s="1" t="s">
        <v>46</v>
      </c>
      <c r="O298" s="2">
        <v>45706</v>
      </c>
      <c r="P298" s="2">
        <v>45708</v>
      </c>
      <c r="Q298" s="1" t="b">
        <v>1</v>
      </c>
      <c r="R298" s="1">
        <v>12</v>
      </c>
      <c r="S298" s="1" t="b">
        <v>1</v>
      </c>
      <c r="T298" s="2">
        <v>45716</v>
      </c>
      <c r="U298" s="1" t="b">
        <v>1</v>
      </c>
      <c r="V298" s="2">
        <v>45724</v>
      </c>
      <c r="W298" s="1" t="b">
        <v>1</v>
      </c>
      <c r="X298" s="2">
        <v>45727</v>
      </c>
      <c r="Y298" s="1">
        <v>56</v>
      </c>
      <c r="Z298" s="1">
        <v>68</v>
      </c>
      <c r="AA298" s="1">
        <v>57</v>
      </c>
      <c r="AB298" s="1" t="b">
        <v>0</v>
      </c>
      <c r="AD298" s="1" t="b">
        <v>0</v>
      </c>
      <c r="AF298" s="1" t="s">
        <v>47</v>
      </c>
      <c r="AH298" s="1">
        <v>21</v>
      </c>
      <c r="AI298" s="1" t="s">
        <v>157</v>
      </c>
    </row>
    <row r="299" spans="1:35" ht="12.5" hidden="1" x14ac:dyDescent="0.25">
      <c r="A299" s="1">
        <v>295</v>
      </c>
      <c r="B299" s="1" t="s">
        <v>936</v>
      </c>
      <c r="C299" s="1" t="s">
        <v>937</v>
      </c>
      <c r="D299" s="1" t="s">
        <v>51</v>
      </c>
      <c r="E299" s="1" t="s">
        <v>38</v>
      </c>
      <c r="F299" s="1" t="s">
        <v>74</v>
      </c>
      <c r="G299" s="1" t="s">
        <v>64</v>
      </c>
      <c r="H299" s="1" t="s">
        <v>65</v>
      </c>
      <c r="I299" s="1" t="s">
        <v>42</v>
      </c>
      <c r="J299" s="1">
        <v>6.8</v>
      </c>
      <c r="K299" s="1" t="s">
        <v>388</v>
      </c>
      <c r="L299" s="1" t="s">
        <v>44</v>
      </c>
      <c r="M299" s="1" t="s">
        <v>45</v>
      </c>
      <c r="N299" s="1" t="s">
        <v>46</v>
      </c>
      <c r="O299" s="2">
        <v>45689</v>
      </c>
      <c r="P299" s="2">
        <v>45689</v>
      </c>
      <c r="Q299" s="1" t="b">
        <v>1</v>
      </c>
      <c r="R299" s="1">
        <v>6</v>
      </c>
      <c r="S299" s="1" t="b">
        <v>1</v>
      </c>
      <c r="T299" s="2">
        <v>45698</v>
      </c>
      <c r="U299" s="1" t="b">
        <v>1</v>
      </c>
      <c r="V299" s="2">
        <v>45700</v>
      </c>
      <c r="W299" s="1" t="b">
        <v>1</v>
      </c>
      <c r="X299" s="2">
        <v>45701</v>
      </c>
      <c r="Y299" s="1">
        <v>70</v>
      </c>
      <c r="Z299" s="1">
        <v>73</v>
      </c>
      <c r="AA299" s="1">
        <v>70</v>
      </c>
      <c r="AB299" s="1" t="b">
        <v>0</v>
      </c>
      <c r="AD299" s="1" t="b">
        <v>0</v>
      </c>
      <c r="AF299" s="1" t="s">
        <v>47</v>
      </c>
      <c r="AG299" s="1" t="s">
        <v>117</v>
      </c>
      <c r="AH299" s="1">
        <v>12</v>
      </c>
      <c r="AI299" s="1" t="s">
        <v>93</v>
      </c>
    </row>
    <row r="300" spans="1:35" ht="12.5" hidden="1" x14ac:dyDescent="0.25">
      <c r="A300" s="1">
        <v>296</v>
      </c>
      <c r="B300" s="1" t="s">
        <v>938</v>
      </c>
      <c r="C300" s="1" t="s">
        <v>939</v>
      </c>
      <c r="D300" s="1" t="s">
        <v>241</v>
      </c>
      <c r="E300" s="1" t="s">
        <v>102</v>
      </c>
      <c r="F300" s="1" t="s">
        <v>39</v>
      </c>
      <c r="G300" s="1" t="s">
        <v>40</v>
      </c>
      <c r="H300" s="1" t="s">
        <v>65</v>
      </c>
      <c r="I300" s="1" t="s">
        <v>53</v>
      </c>
      <c r="J300" s="1">
        <v>3.7</v>
      </c>
      <c r="K300" s="1" t="s">
        <v>524</v>
      </c>
      <c r="L300" s="1" t="s">
        <v>114</v>
      </c>
      <c r="M300" s="1" t="s">
        <v>68</v>
      </c>
      <c r="N300" s="1" t="s">
        <v>84</v>
      </c>
      <c r="O300" s="2">
        <v>45770</v>
      </c>
      <c r="P300" s="2">
        <v>45770</v>
      </c>
      <c r="Q300" s="1" t="b">
        <v>1</v>
      </c>
      <c r="R300" s="1">
        <v>6</v>
      </c>
      <c r="S300" s="1" t="b">
        <v>0</v>
      </c>
      <c r="U300" s="1" t="b">
        <v>0</v>
      </c>
      <c r="W300" s="1" t="b">
        <v>0</v>
      </c>
      <c r="Y300" s="1">
        <v>75</v>
      </c>
      <c r="Z300" s="1">
        <v>80</v>
      </c>
      <c r="AA300" s="1">
        <v>78</v>
      </c>
      <c r="AB300" s="1" t="b">
        <v>0</v>
      </c>
      <c r="AD300" s="1" t="b">
        <v>0</v>
      </c>
      <c r="AF300" s="1" t="s">
        <v>57</v>
      </c>
      <c r="AH300" s="1">
        <v>0</v>
      </c>
      <c r="AI300" s="1" t="s">
        <v>48</v>
      </c>
    </row>
    <row r="301" spans="1:35" ht="12.5" hidden="1" x14ac:dyDescent="0.25">
      <c r="A301" s="1">
        <v>297</v>
      </c>
      <c r="B301" s="1" t="s">
        <v>940</v>
      </c>
      <c r="C301" s="1" t="s">
        <v>941</v>
      </c>
      <c r="D301" s="1" t="s">
        <v>418</v>
      </c>
      <c r="E301" s="1" t="s">
        <v>102</v>
      </c>
      <c r="F301" s="1" t="s">
        <v>63</v>
      </c>
      <c r="G301" s="1" t="s">
        <v>64</v>
      </c>
      <c r="H301" s="1" t="s">
        <v>65</v>
      </c>
      <c r="I301" s="1" t="s">
        <v>53</v>
      </c>
      <c r="J301" s="1">
        <v>0.6</v>
      </c>
      <c r="K301" s="1" t="s">
        <v>226</v>
      </c>
      <c r="L301" s="1" t="s">
        <v>44</v>
      </c>
      <c r="M301" s="1" t="s">
        <v>123</v>
      </c>
      <c r="N301" s="1" t="s">
        <v>46</v>
      </c>
      <c r="O301" s="2">
        <v>45760</v>
      </c>
      <c r="P301" s="2">
        <v>45768</v>
      </c>
      <c r="Q301" s="1" t="b">
        <v>1</v>
      </c>
      <c r="R301" s="1">
        <v>12</v>
      </c>
      <c r="S301" s="1" t="b">
        <v>1</v>
      </c>
      <c r="T301" s="2">
        <v>45775</v>
      </c>
      <c r="U301" s="1" t="b">
        <v>0</v>
      </c>
      <c r="W301" s="1" t="b">
        <v>0</v>
      </c>
      <c r="Y301" s="1">
        <v>76</v>
      </c>
      <c r="Z301" s="1">
        <v>78</v>
      </c>
      <c r="AA301" s="1">
        <v>89</v>
      </c>
      <c r="AB301" s="1" t="b">
        <v>0</v>
      </c>
      <c r="AD301" s="1" t="b">
        <v>0</v>
      </c>
      <c r="AF301" s="1" t="s">
        <v>151</v>
      </c>
      <c r="AG301" s="1" t="s">
        <v>124</v>
      </c>
      <c r="AH301" s="1">
        <v>15</v>
      </c>
      <c r="AI301" s="1" t="s">
        <v>215</v>
      </c>
    </row>
    <row r="302" spans="1:35" ht="12.5" hidden="1" x14ac:dyDescent="0.25">
      <c r="A302" s="1">
        <v>298</v>
      </c>
      <c r="B302" s="1" t="s">
        <v>942</v>
      </c>
      <c r="C302" s="1" t="s">
        <v>943</v>
      </c>
      <c r="D302" s="1" t="s">
        <v>241</v>
      </c>
      <c r="E302" s="1" t="s">
        <v>52</v>
      </c>
      <c r="F302" s="1" t="s">
        <v>74</v>
      </c>
      <c r="G302" s="1" t="s">
        <v>112</v>
      </c>
      <c r="H302" s="1" t="s">
        <v>65</v>
      </c>
      <c r="I302" s="1" t="s">
        <v>42</v>
      </c>
      <c r="J302" s="1">
        <v>8.5</v>
      </c>
      <c r="K302" s="1" t="s">
        <v>868</v>
      </c>
      <c r="L302" s="1" t="s">
        <v>55</v>
      </c>
      <c r="M302" s="1" t="s">
        <v>68</v>
      </c>
      <c r="N302" s="1" t="s">
        <v>116</v>
      </c>
      <c r="O302" s="2">
        <v>45804</v>
      </c>
      <c r="P302" s="2">
        <v>45804</v>
      </c>
      <c r="Q302" s="1" t="b">
        <v>1</v>
      </c>
      <c r="R302" s="1">
        <v>6</v>
      </c>
      <c r="S302" s="1" t="b">
        <v>1</v>
      </c>
      <c r="T302" s="2">
        <v>45813</v>
      </c>
      <c r="U302" s="1" t="b">
        <v>1</v>
      </c>
      <c r="V302" s="2">
        <v>45819</v>
      </c>
      <c r="W302" s="1" t="b">
        <v>1</v>
      </c>
      <c r="X302" s="2">
        <v>45821</v>
      </c>
      <c r="Y302" s="1">
        <v>78</v>
      </c>
      <c r="Z302" s="1">
        <v>86</v>
      </c>
      <c r="AA302" s="1">
        <v>97</v>
      </c>
      <c r="AB302" s="1" t="b">
        <v>0</v>
      </c>
      <c r="AD302" s="1" t="b">
        <v>0</v>
      </c>
      <c r="AF302" s="1" t="s">
        <v>47</v>
      </c>
      <c r="AG302" s="1" t="s">
        <v>287</v>
      </c>
      <c r="AH302" s="1">
        <v>17</v>
      </c>
      <c r="AI302" s="1" t="s">
        <v>78</v>
      </c>
    </row>
    <row r="303" spans="1:35" ht="12.5" hidden="1" x14ac:dyDescent="0.25">
      <c r="A303" s="1">
        <v>299</v>
      </c>
      <c r="B303" s="1" t="s">
        <v>944</v>
      </c>
      <c r="C303" s="1" t="s">
        <v>945</v>
      </c>
      <c r="D303" s="1" t="s">
        <v>534</v>
      </c>
      <c r="E303" s="1" t="s">
        <v>38</v>
      </c>
      <c r="F303" s="1" t="s">
        <v>74</v>
      </c>
      <c r="G303" s="1" t="s">
        <v>139</v>
      </c>
      <c r="H303" s="1" t="s">
        <v>65</v>
      </c>
      <c r="I303" s="1" t="s">
        <v>42</v>
      </c>
      <c r="J303" s="1">
        <v>8.1</v>
      </c>
      <c r="K303" s="1" t="s">
        <v>430</v>
      </c>
      <c r="L303" s="1" t="s">
        <v>90</v>
      </c>
      <c r="M303" s="1" t="s">
        <v>115</v>
      </c>
      <c r="N303" s="1" t="s">
        <v>46</v>
      </c>
      <c r="O303" s="2">
        <v>45661</v>
      </c>
      <c r="P303" s="2">
        <v>45661</v>
      </c>
      <c r="Q303" s="1" t="b">
        <v>1</v>
      </c>
      <c r="R303" s="1">
        <v>9</v>
      </c>
      <c r="S303" s="1" t="b">
        <v>1</v>
      </c>
      <c r="T303" s="2">
        <v>45664</v>
      </c>
      <c r="U303" s="1" t="b">
        <v>1</v>
      </c>
      <c r="V303" s="2">
        <v>45676</v>
      </c>
      <c r="W303" s="1" t="b">
        <v>0</v>
      </c>
      <c r="Y303" s="1">
        <v>65</v>
      </c>
      <c r="Z303" s="1">
        <v>68</v>
      </c>
      <c r="AA303" s="1">
        <v>65</v>
      </c>
      <c r="AB303" s="1" t="b">
        <v>0</v>
      </c>
      <c r="AD303" s="1" t="b">
        <v>0</v>
      </c>
      <c r="AF303" s="1" t="s">
        <v>105</v>
      </c>
      <c r="AH303" s="1">
        <v>15</v>
      </c>
      <c r="AI303" s="1" t="s">
        <v>165</v>
      </c>
    </row>
    <row r="304" spans="1:35" ht="12.5" x14ac:dyDescent="0.25">
      <c r="A304" s="1">
        <v>300</v>
      </c>
      <c r="B304" s="1" t="s">
        <v>946</v>
      </c>
      <c r="C304" s="1" t="s">
        <v>947</v>
      </c>
      <c r="D304" s="1" t="s">
        <v>534</v>
      </c>
      <c r="E304" s="1" t="s">
        <v>102</v>
      </c>
      <c r="F304" s="1" t="s">
        <v>39</v>
      </c>
      <c r="G304" s="1" t="s">
        <v>75</v>
      </c>
      <c r="H304" s="1" t="s">
        <v>41</v>
      </c>
      <c r="I304" s="1" t="s">
        <v>53</v>
      </c>
      <c r="J304" s="1">
        <v>2.5</v>
      </c>
      <c r="K304" s="1" t="s">
        <v>546</v>
      </c>
      <c r="L304" s="1" t="s">
        <v>114</v>
      </c>
      <c r="M304" s="1" t="s">
        <v>56</v>
      </c>
      <c r="N304" s="1" t="s">
        <v>46</v>
      </c>
      <c r="O304" s="2">
        <v>45724</v>
      </c>
      <c r="P304" s="2">
        <v>45724</v>
      </c>
      <c r="Q304" s="1" t="b">
        <v>0</v>
      </c>
      <c r="S304" s="1" t="b">
        <v>0</v>
      </c>
      <c r="U304" s="1" t="b">
        <v>0</v>
      </c>
      <c r="W304" s="1" t="b">
        <v>0</v>
      </c>
      <c r="Y304" s="1">
        <v>68</v>
      </c>
      <c r="Z304" s="1">
        <v>44</v>
      </c>
      <c r="AA304" s="1">
        <v>55</v>
      </c>
      <c r="AB304" s="1" t="b">
        <v>0</v>
      </c>
      <c r="AD304" s="1" t="b">
        <v>0</v>
      </c>
      <c r="AF304" s="1" t="s">
        <v>77</v>
      </c>
      <c r="AG304" s="1" t="s">
        <v>69</v>
      </c>
      <c r="AH304" s="1">
        <v>0</v>
      </c>
      <c r="AI304" s="1" t="s">
        <v>118</v>
      </c>
    </row>
    <row r="305" spans="1:35" ht="12.5" hidden="1" x14ac:dyDescent="0.25">
      <c r="A305" s="1">
        <v>301</v>
      </c>
      <c r="B305" s="1" t="s">
        <v>948</v>
      </c>
      <c r="C305" s="1" t="s">
        <v>949</v>
      </c>
      <c r="D305" s="1" t="s">
        <v>199</v>
      </c>
      <c r="E305" s="1" t="s">
        <v>38</v>
      </c>
      <c r="F305" s="1" t="s">
        <v>111</v>
      </c>
      <c r="G305" s="1" t="s">
        <v>75</v>
      </c>
      <c r="H305" s="1" t="s">
        <v>88</v>
      </c>
      <c r="I305" s="1" t="s">
        <v>53</v>
      </c>
      <c r="J305" s="1">
        <v>2.8</v>
      </c>
      <c r="K305" s="1" t="s">
        <v>294</v>
      </c>
      <c r="L305" s="1" t="s">
        <v>55</v>
      </c>
      <c r="M305" s="1" t="s">
        <v>91</v>
      </c>
      <c r="N305" s="1" t="s">
        <v>92</v>
      </c>
      <c r="O305" s="2">
        <v>45788</v>
      </c>
      <c r="P305" s="2">
        <v>45788</v>
      </c>
      <c r="Q305" s="1" t="b">
        <v>1</v>
      </c>
      <c r="R305" s="1">
        <v>11</v>
      </c>
      <c r="S305" s="1" t="b">
        <v>1</v>
      </c>
      <c r="T305" s="2">
        <v>45796</v>
      </c>
      <c r="U305" s="1" t="b">
        <v>1</v>
      </c>
      <c r="V305" s="2">
        <v>45809</v>
      </c>
      <c r="W305" s="1" t="b">
        <v>1</v>
      </c>
      <c r="X305" s="2">
        <v>45814</v>
      </c>
      <c r="Y305" s="1">
        <v>77</v>
      </c>
      <c r="Z305" s="1">
        <v>69</v>
      </c>
      <c r="AA305" s="1">
        <v>80</v>
      </c>
      <c r="AB305" s="1" t="b">
        <v>0</v>
      </c>
      <c r="AD305" s="1" t="b">
        <v>0</v>
      </c>
      <c r="AF305" s="1" t="s">
        <v>47</v>
      </c>
      <c r="AG305" s="1" t="s">
        <v>287</v>
      </c>
      <c r="AH305" s="1">
        <v>26</v>
      </c>
      <c r="AI305" s="1" t="s">
        <v>70</v>
      </c>
    </row>
    <row r="306" spans="1:35" ht="12.5" x14ac:dyDescent="0.25">
      <c r="A306" s="1">
        <v>302</v>
      </c>
      <c r="B306" s="1" t="s">
        <v>950</v>
      </c>
      <c r="C306" s="1" t="s">
        <v>951</v>
      </c>
      <c r="D306" s="1" t="s">
        <v>505</v>
      </c>
      <c r="E306" s="1" t="s">
        <v>38</v>
      </c>
      <c r="F306" s="1" t="s">
        <v>111</v>
      </c>
      <c r="G306" s="1" t="s">
        <v>112</v>
      </c>
      <c r="H306" s="1" t="s">
        <v>41</v>
      </c>
      <c r="I306" s="1" t="s">
        <v>53</v>
      </c>
      <c r="J306" s="1">
        <v>5.4</v>
      </c>
      <c r="K306" s="1" t="s">
        <v>388</v>
      </c>
      <c r="L306" s="1" t="s">
        <v>55</v>
      </c>
      <c r="M306" s="1" t="s">
        <v>123</v>
      </c>
      <c r="N306" s="1" t="s">
        <v>116</v>
      </c>
      <c r="O306" s="2">
        <v>45776</v>
      </c>
      <c r="P306" s="2">
        <v>45782</v>
      </c>
      <c r="Q306" s="1" t="b">
        <v>0</v>
      </c>
      <c r="S306" s="1" t="b">
        <v>0</v>
      </c>
      <c r="U306" s="1" t="b">
        <v>0</v>
      </c>
      <c r="W306" s="1" t="b">
        <v>0</v>
      </c>
      <c r="Y306" s="1">
        <v>49</v>
      </c>
      <c r="Z306" s="1">
        <v>74</v>
      </c>
      <c r="AA306" s="1">
        <v>78</v>
      </c>
      <c r="AB306" s="1" t="b">
        <v>0</v>
      </c>
      <c r="AD306" s="1" t="b">
        <v>0</v>
      </c>
      <c r="AF306" s="1" t="s">
        <v>77</v>
      </c>
      <c r="AG306" s="1" t="s">
        <v>69</v>
      </c>
      <c r="AH306" s="1">
        <v>6</v>
      </c>
      <c r="AI306" s="1" t="s">
        <v>165</v>
      </c>
    </row>
    <row r="307" spans="1:35" ht="12.5" hidden="1" x14ac:dyDescent="0.25">
      <c r="A307" s="1">
        <v>303</v>
      </c>
      <c r="B307" s="1" t="s">
        <v>952</v>
      </c>
      <c r="C307" s="1" t="s">
        <v>953</v>
      </c>
      <c r="D307" s="1" t="s">
        <v>714</v>
      </c>
      <c r="E307" s="1" t="s">
        <v>62</v>
      </c>
      <c r="F307" s="1" t="s">
        <v>63</v>
      </c>
      <c r="G307" s="1" t="s">
        <v>97</v>
      </c>
      <c r="H307" s="1" t="s">
        <v>41</v>
      </c>
      <c r="I307" s="1" t="s">
        <v>103</v>
      </c>
      <c r="J307" s="1">
        <v>12</v>
      </c>
      <c r="K307" s="1" t="s">
        <v>206</v>
      </c>
      <c r="L307" s="1" t="s">
        <v>44</v>
      </c>
      <c r="M307" s="1" t="s">
        <v>56</v>
      </c>
      <c r="N307" s="1" t="s">
        <v>84</v>
      </c>
      <c r="O307" s="2">
        <v>45790</v>
      </c>
      <c r="P307" s="2">
        <v>45792</v>
      </c>
      <c r="Q307" s="1" t="b">
        <v>1</v>
      </c>
      <c r="R307" s="1">
        <v>9</v>
      </c>
      <c r="S307" s="1" t="b">
        <v>1</v>
      </c>
      <c r="T307" s="2">
        <v>45794</v>
      </c>
      <c r="U307" s="1" t="b">
        <v>0</v>
      </c>
      <c r="W307" s="1" t="b">
        <v>0</v>
      </c>
      <c r="Y307" s="1">
        <v>60</v>
      </c>
      <c r="Z307" s="1">
        <v>100</v>
      </c>
      <c r="AA307" s="1">
        <v>88</v>
      </c>
      <c r="AB307" s="1" t="b">
        <v>0</v>
      </c>
      <c r="AD307" s="1" t="b">
        <v>0</v>
      </c>
      <c r="AF307" s="1" t="s">
        <v>151</v>
      </c>
      <c r="AG307" s="1" t="s">
        <v>117</v>
      </c>
      <c r="AH307" s="1">
        <v>4</v>
      </c>
      <c r="AI307" s="1" t="s">
        <v>118</v>
      </c>
    </row>
    <row r="308" spans="1:35" ht="12.5" hidden="1" x14ac:dyDescent="0.25">
      <c r="A308" s="1">
        <v>304</v>
      </c>
      <c r="B308" s="1" t="s">
        <v>954</v>
      </c>
      <c r="C308" s="1" t="s">
        <v>955</v>
      </c>
      <c r="D308" s="1" t="s">
        <v>560</v>
      </c>
      <c r="E308" s="1" t="s">
        <v>52</v>
      </c>
      <c r="F308" s="1" t="s">
        <v>74</v>
      </c>
      <c r="G308" s="1" t="s">
        <v>40</v>
      </c>
      <c r="H308" s="1" t="s">
        <v>88</v>
      </c>
      <c r="I308" s="1" t="s">
        <v>53</v>
      </c>
      <c r="J308" s="1">
        <v>2.2000000000000002</v>
      </c>
      <c r="K308" s="1" t="s">
        <v>956</v>
      </c>
      <c r="L308" s="1" t="s">
        <v>114</v>
      </c>
      <c r="M308" s="1" t="s">
        <v>68</v>
      </c>
      <c r="N308" s="1" t="s">
        <v>116</v>
      </c>
      <c r="O308" s="2">
        <v>45675</v>
      </c>
      <c r="P308" s="2">
        <v>45683</v>
      </c>
      <c r="Q308" s="1" t="b">
        <v>1</v>
      </c>
      <c r="R308" s="1">
        <v>10</v>
      </c>
      <c r="S308" s="1" t="b">
        <v>0</v>
      </c>
      <c r="U308" s="1" t="b">
        <v>0</v>
      </c>
      <c r="W308" s="1" t="b">
        <v>0</v>
      </c>
      <c r="Y308" s="1">
        <v>75</v>
      </c>
      <c r="Z308" s="1">
        <v>82</v>
      </c>
      <c r="AA308" s="1">
        <v>76</v>
      </c>
      <c r="AB308" s="1" t="b">
        <v>0</v>
      </c>
      <c r="AD308" s="1" t="b">
        <v>0</v>
      </c>
      <c r="AF308" s="1" t="s">
        <v>57</v>
      </c>
      <c r="AG308" s="1" t="s">
        <v>152</v>
      </c>
      <c r="AH308" s="1">
        <v>8</v>
      </c>
      <c r="AI308" s="1" t="s">
        <v>165</v>
      </c>
    </row>
    <row r="309" spans="1:35" ht="12.5" x14ac:dyDescent="0.25">
      <c r="A309" s="1">
        <v>305</v>
      </c>
      <c r="B309" s="1" t="s">
        <v>957</v>
      </c>
      <c r="C309" s="1" t="s">
        <v>958</v>
      </c>
      <c r="D309" s="1" t="s">
        <v>282</v>
      </c>
      <c r="E309" s="1" t="s">
        <v>38</v>
      </c>
      <c r="F309" s="1" t="s">
        <v>39</v>
      </c>
      <c r="G309" s="1" t="s">
        <v>75</v>
      </c>
      <c r="H309" s="1" t="s">
        <v>41</v>
      </c>
      <c r="I309" s="1" t="s">
        <v>42</v>
      </c>
      <c r="J309" s="1">
        <v>8</v>
      </c>
      <c r="K309" s="1" t="s">
        <v>364</v>
      </c>
      <c r="L309" s="1" t="s">
        <v>67</v>
      </c>
      <c r="M309" s="1" t="s">
        <v>115</v>
      </c>
      <c r="N309" s="1" t="s">
        <v>46</v>
      </c>
      <c r="O309" s="2">
        <v>45694</v>
      </c>
      <c r="P309" s="2">
        <v>45696</v>
      </c>
      <c r="Q309" s="1" t="b">
        <v>0</v>
      </c>
      <c r="S309" s="1" t="b">
        <v>0</v>
      </c>
      <c r="U309" s="1" t="b">
        <v>0</v>
      </c>
      <c r="W309" s="1" t="b">
        <v>0</v>
      </c>
      <c r="Y309" s="1">
        <v>67</v>
      </c>
      <c r="Z309" s="1">
        <v>67</v>
      </c>
      <c r="AA309" s="1">
        <v>68</v>
      </c>
      <c r="AB309" s="1" t="b">
        <v>0</v>
      </c>
      <c r="AD309" s="1" t="b">
        <v>0</v>
      </c>
      <c r="AF309" s="1" t="s">
        <v>77</v>
      </c>
      <c r="AG309" s="1" t="s">
        <v>69</v>
      </c>
      <c r="AH309" s="1">
        <v>2</v>
      </c>
      <c r="AI309" s="1" t="s">
        <v>135</v>
      </c>
    </row>
    <row r="310" spans="1:35" ht="12.5" hidden="1" x14ac:dyDescent="0.25">
      <c r="A310" s="1">
        <v>306</v>
      </c>
      <c r="B310" s="1" t="s">
        <v>959</v>
      </c>
      <c r="C310" s="1" t="s">
        <v>960</v>
      </c>
      <c r="D310" s="1" t="s">
        <v>534</v>
      </c>
      <c r="E310" s="1" t="s">
        <v>62</v>
      </c>
      <c r="F310" s="1" t="s">
        <v>74</v>
      </c>
      <c r="G310" s="1" t="s">
        <v>97</v>
      </c>
      <c r="H310" s="1" t="s">
        <v>88</v>
      </c>
      <c r="I310" s="1" t="s">
        <v>103</v>
      </c>
      <c r="J310" s="1">
        <v>9.4</v>
      </c>
      <c r="K310" s="1" t="s">
        <v>839</v>
      </c>
      <c r="L310" s="1" t="s">
        <v>55</v>
      </c>
      <c r="M310" s="1" t="s">
        <v>56</v>
      </c>
      <c r="N310" s="1" t="s">
        <v>46</v>
      </c>
      <c r="O310" s="2">
        <v>45781</v>
      </c>
      <c r="P310" s="2">
        <v>45781</v>
      </c>
      <c r="Q310" s="1" t="b">
        <v>1</v>
      </c>
      <c r="R310" s="1">
        <v>9</v>
      </c>
      <c r="S310" s="1" t="b">
        <v>1</v>
      </c>
      <c r="T310" s="2">
        <v>45790</v>
      </c>
      <c r="U310" s="1" t="b">
        <v>1</v>
      </c>
      <c r="V310" s="2">
        <v>45800</v>
      </c>
      <c r="W310" s="1" t="b">
        <v>1</v>
      </c>
      <c r="X310" s="2">
        <v>45802</v>
      </c>
      <c r="Y310" s="1">
        <v>89</v>
      </c>
      <c r="Z310" s="1">
        <v>78</v>
      </c>
      <c r="AA310" s="1">
        <v>86</v>
      </c>
      <c r="AB310" s="1" t="b">
        <v>0</v>
      </c>
      <c r="AD310" s="1" t="b">
        <v>0</v>
      </c>
      <c r="AF310" s="1" t="s">
        <v>47</v>
      </c>
      <c r="AH310" s="1">
        <v>21</v>
      </c>
      <c r="AI310" s="1" t="s">
        <v>78</v>
      </c>
    </row>
    <row r="311" spans="1:35" ht="12.5" x14ac:dyDescent="0.25">
      <c r="A311" s="1">
        <v>307</v>
      </c>
      <c r="B311" s="1" t="s">
        <v>961</v>
      </c>
      <c r="C311" s="1" t="s">
        <v>962</v>
      </c>
      <c r="D311" s="1" t="s">
        <v>633</v>
      </c>
      <c r="E311" s="1" t="s">
        <v>62</v>
      </c>
      <c r="F311" s="1" t="s">
        <v>63</v>
      </c>
      <c r="G311" s="1" t="s">
        <v>40</v>
      </c>
      <c r="H311" s="1" t="s">
        <v>65</v>
      </c>
      <c r="I311" s="1" t="s">
        <v>53</v>
      </c>
      <c r="J311" s="1">
        <v>3.6</v>
      </c>
      <c r="K311" s="1" t="s">
        <v>565</v>
      </c>
      <c r="L311" s="1" t="s">
        <v>114</v>
      </c>
      <c r="M311" s="1" t="s">
        <v>56</v>
      </c>
      <c r="N311" s="1" t="s">
        <v>92</v>
      </c>
      <c r="O311" s="2">
        <v>45801</v>
      </c>
      <c r="P311" s="2">
        <v>45804</v>
      </c>
      <c r="Q311" s="1" t="b">
        <v>0</v>
      </c>
      <c r="S311" s="1" t="b">
        <v>0</v>
      </c>
      <c r="U311" s="1" t="b">
        <v>0</v>
      </c>
      <c r="W311" s="1" t="b">
        <v>0</v>
      </c>
      <c r="Y311" s="1">
        <v>91</v>
      </c>
      <c r="Z311" s="1">
        <v>69</v>
      </c>
      <c r="AA311" s="1">
        <v>85</v>
      </c>
      <c r="AB311" s="1" t="b">
        <v>0</v>
      </c>
      <c r="AD311" s="1" t="b">
        <v>0</v>
      </c>
      <c r="AF311" s="1" t="s">
        <v>77</v>
      </c>
      <c r="AG311" s="1" t="s">
        <v>69</v>
      </c>
      <c r="AH311" s="1">
        <v>3</v>
      </c>
      <c r="AI311" s="1" t="s">
        <v>70</v>
      </c>
    </row>
    <row r="312" spans="1:35" ht="12.5" hidden="1" x14ac:dyDescent="0.25">
      <c r="A312" s="1">
        <v>308</v>
      </c>
      <c r="B312" s="1" t="s">
        <v>963</v>
      </c>
      <c r="C312" s="1" t="s">
        <v>964</v>
      </c>
      <c r="D312" s="1" t="s">
        <v>508</v>
      </c>
      <c r="E312" s="1" t="s">
        <v>102</v>
      </c>
      <c r="F312" s="1" t="s">
        <v>111</v>
      </c>
      <c r="G312" s="1" t="s">
        <v>97</v>
      </c>
      <c r="H312" s="1" t="s">
        <v>65</v>
      </c>
      <c r="I312" s="1" t="s">
        <v>42</v>
      </c>
      <c r="J312" s="1">
        <v>7.8</v>
      </c>
      <c r="K312" s="1" t="s">
        <v>531</v>
      </c>
      <c r="L312" s="1" t="s">
        <v>141</v>
      </c>
      <c r="M312" s="1" t="s">
        <v>45</v>
      </c>
      <c r="N312" s="1" t="s">
        <v>84</v>
      </c>
      <c r="O312" s="2">
        <v>45800</v>
      </c>
      <c r="P312" s="2">
        <v>45803</v>
      </c>
      <c r="Q312" s="1" t="b">
        <v>1</v>
      </c>
      <c r="R312" s="1">
        <v>12</v>
      </c>
      <c r="S312" s="1" t="b">
        <v>0</v>
      </c>
      <c r="U312" s="1" t="b">
        <v>0</v>
      </c>
      <c r="W312" s="1" t="b">
        <v>0</v>
      </c>
      <c r="Y312" s="1">
        <v>76</v>
      </c>
      <c r="Z312" s="1">
        <v>68</v>
      </c>
      <c r="AA312" s="1">
        <v>68</v>
      </c>
      <c r="AB312" s="1" t="b">
        <v>0</v>
      </c>
      <c r="AD312" s="1" t="b">
        <v>0</v>
      </c>
      <c r="AF312" s="1" t="s">
        <v>57</v>
      </c>
      <c r="AG312" s="1" t="s">
        <v>361</v>
      </c>
      <c r="AH312" s="1">
        <v>3</v>
      </c>
      <c r="AI312" s="1" t="s">
        <v>48</v>
      </c>
    </row>
    <row r="313" spans="1:35" ht="12.5" x14ac:dyDescent="0.25">
      <c r="A313" s="1">
        <v>309</v>
      </c>
      <c r="B313" s="1" t="s">
        <v>965</v>
      </c>
      <c r="C313" s="1" t="s">
        <v>966</v>
      </c>
      <c r="D313" s="1" t="s">
        <v>681</v>
      </c>
      <c r="E313" s="1" t="s">
        <v>102</v>
      </c>
      <c r="F313" s="1" t="s">
        <v>63</v>
      </c>
      <c r="G313" s="1" t="s">
        <v>75</v>
      </c>
      <c r="H313" s="1" t="s">
        <v>41</v>
      </c>
      <c r="I313" s="1" t="s">
        <v>103</v>
      </c>
      <c r="J313" s="1">
        <v>7.5</v>
      </c>
      <c r="K313" s="1" t="s">
        <v>891</v>
      </c>
      <c r="L313" s="1" t="s">
        <v>55</v>
      </c>
      <c r="M313" s="1" t="s">
        <v>115</v>
      </c>
      <c r="N313" s="1" t="s">
        <v>46</v>
      </c>
      <c r="O313" s="2">
        <v>45680</v>
      </c>
      <c r="P313" s="2">
        <v>45685</v>
      </c>
      <c r="Q313" s="1" t="b">
        <v>0</v>
      </c>
      <c r="S313" s="1" t="b">
        <v>0</v>
      </c>
      <c r="U313" s="1" t="b">
        <v>0</v>
      </c>
      <c r="W313" s="1" t="b">
        <v>0</v>
      </c>
      <c r="Y313" s="1">
        <v>82</v>
      </c>
      <c r="Z313" s="1">
        <v>94</v>
      </c>
      <c r="AA313" s="1">
        <v>77</v>
      </c>
      <c r="AB313" s="1" t="b">
        <v>0</v>
      </c>
      <c r="AD313" s="1" t="b">
        <v>0</v>
      </c>
      <c r="AF313" s="1" t="s">
        <v>77</v>
      </c>
      <c r="AG313" s="1" t="s">
        <v>69</v>
      </c>
      <c r="AH313" s="1">
        <v>5</v>
      </c>
      <c r="AI313" s="1" t="s">
        <v>58</v>
      </c>
    </row>
    <row r="314" spans="1:35" ht="12.5" hidden="1" x14ac:dyDescent="0.25">
      <c r="A314" s="1">
        <v>310</v>
      </c>
      <c r="B314" s="1" t="s">
        <v>967</v>
      </c>
      <c r="C314" s="1" t="s">
        <v>968</v>
      </c>
      <c r="D314" s="1" t="s">
        <v>191</v>
      </c>
      <c r="E314" s="1" t="s">
        <v>62</v>
      </c>
      <c r="F314" s="1" t="s">
        <v>74</v>
      </c>
      <c r="G314" s="1" t="s">
        <v>40</v>
      </c>
      <c r="H314" s="1" t="s">
        <v>41</v>
      </c>
      <c r="I314" s="1" t="s">
        <v>82</v>
      </c>
      <c r="J314" s="1">
        <v>0.6</v>
      </c>
      <c r="K314" s="1" t="s">
        <v>185</v>
      </c>
      <c r="L314" s="1" t="s">
        <v>114</v>
      </c>
      <c r="M314" s="1" t="s">
        <v>123</v>
      </c>
      <c r="N314" s="1" t="s">
        <v>46</v>
      </c>
      <c r="O314" s="2">
        <v>45739</v>
      </c>
      <c r="P314" s="2">
        <v>45741</v>
      </c>
      <c r="Q314" s="1" t="b">
        <v>1</v>
      </c>
      <c r="R314" s="1">
        <v>3</v>
      </c>
      <c r="S314" s="1" t="b">
        <v>0</v>
      </c>
      <c r="U314" s="1" t="b">
        <v>0</v>
      </c>
      <c r="W314" s="1" t="b">
        <v>0</v>
      </c>
      <c r="Y314" s="1">
        <v>64</v>
      </c>
      <c r="Z314" s="1">
        <v>54</v>
      </c>
      <c r="AA314" s="1">
        <v>56</v>
      </c>
      <c r="AB314" s="1" t="b">
        <v>0</v>
      </c>
      <c r="AD314" s="1" t="b">
        <v>0</v>
      </c>
      <c r="AF314" s="1" t="s">
        <v>57</v>
      </c>
      <c r="AH314" s="1">
        <v>2</v>
      </c>
      <c r="AI314" s="1" t="s">
        <v>215</v>
      </c>
    </row>
    <row r="315" spans="1:35" ht="12.5" hidden="1" x14ac:dyDescent="0.25">
      <c r="A315" s="1">
        <v>311</v>
      </c>
      <c r="B315" s="1" t="s">
        <v>969</v>
      </c>
      <c r="C315" s="1" t="s">
        <v>970</v>
      </c>
      <c r="D315" s="1" t="s">
        <v>497</v>
      </c>
      <c r="E315" s="1" t="s">
        <v>62</v>
      </c>
      <c r="F315" s="1" t="s">
        <v>74</v>
      </c>
      <c r="G315" s="1" t="s">
        <v>40</v>
      </c>
      <c r="H315" s="1" t="s">
        <v>88</v>
      </c>
      <c r="I315" s="1" t="s">
        <v>103</v>
      </c>
      <c r="J315" s="1">
        <v>9.5</v>
      </c>
      <c r="K315" s="1" t="s">
        <v>778</v>
      </c>
      <c r="L315" s="1" t="s">
        <v>55</v>
      </c>
      <c r="M315" s="1" t="s">
        <v>146</v>
      </c>
      <c r="N315" s="1" t="s">
        <v>92</v>
      </c>
      <c r="O315" s="2">
        <v>45724</v>
      </c>
      <c r="P315" s="2">
        <v>45724</v>
      </c>
      <c r="Q315" s="1" t="b">
        <v>1</v>
      </c>
      <c r="R315" s="1">
        <v>3</v>
      </c>
      <c r="S315" s="1" t="b">
        <v>1</v>
      </c>
      <c r="T315" s="2">
        <v>45729</v>
      </c>
      <c r="U315" s="1" t="b">
        <v>1</v>
      </c>
      <c r="V315" s="2">
        <v>45736</v>
      </c>
      <c r="W315" s="1" t="b">
        <v>1</v>
      </c>
      <c r="X315" s="2">
        <v>45737</v>
      </c>
      <c r="Y315" s="1">
        <v>79</v>
      </c>
      <c r="Z315" s="1">
        <v>77</v>
      </c>
      <c r="AA315" s="1">
        <v>87</v>
      </c>
      <c r="AB315" s="1" t="b">
        <v>1</v>
      </c>
      <c r="AC315" s="2">
        <v>45742</v>
      </c>
      <c r="AD315" s="1" t="b">
        <v>1</v>
      </c>
      <c r="AE315" s="2">
        <v>45750</v>
      </c>
      <c r="AF315" s="1" t="s">
        <v>134</v>
      </c>
      <c r="AH315" s="1">
        <v>26</v>
      </c>
      <c r="AI315" s="1" t="s">
        <v>118</v>
      </c>
    </row>
    <row r="316" spans="1:35" ht="12.5" x14ac:dyDescent="0.25">
      <c r="A316" s="1">
        <v>312</v>
      </c>
      <c r="B316" s="1" t="s">
        <v>971</v>
      </c>
      <c r="C316" s="1" t="s">
        <v>972</v>
      </c>
      <c r="D316" s="1" t="s">
        <v>483</v>
      </c>
      <c r="E316" s="1" t="s">
        <v>52</v>
      </c>
      <c r="F316" s="1" t="s">
        <v>74</v>
      </c>
      <c r="G316" s="1" t="s">
        <v>75</v>
      </c>
      <c r="H316" s="1" t="s">
        <v>65</v>
      </c>
      <c r="I316" s="1" t="s">
        <v>53</v>
      </c>
      <c r="J316" s="1">
        <v>3.4</v>
      </c>
      <c r="K316" s="1" t="s">
        <v>973</v>
      </c>
      <c r="L316" s="1" t="s">
        <v>114</v>
      </c>
      <c r="M316" s="1" t="s">
        <v>45</v>
      </c>
      <c r="N316" s="1" t="s">
        <v>46</v>
      </c>
      <c r="O316" s="2">
        <v>45751</v>
      </c>
      <c r="P316" s="2">
        <v>45753</v>
      </c>
      <c r="Q316" s="1" t="b">
        <v>0</v>
      </c>
      <c r="S316" s="1" t="b">
        <v>0</v>
      </c>
      <c r="U316" s="1" t="b">
        <v>0</v>
      </c>
      <c r="W316" s="1" t="b">
        <v>0</v>
      </c>
      <c r="Y316" s="1">
        <v>49</v>
      </c>
      <c r="Z316" s="1">
        <v>61</v>
      </c>
      <c r="AA316" s="1">
        <v>64</v>
      </c>
      <c r="AB316" s="1" t="b">
        <v>0</v>
      </c>
      <c r="AD316" s="1" t="b">
        <v>0</v>
      </c>
      <c r="AF316" s="1" t="s">
        <v>77</v>
      </c>
      <c r="AG316" s="1" t="s">
        <v>69</v>
      </c>
      <c r="AH316" s="1">
        <v>2</v>
      </c>
      <c r="AI316" s="1" t="s">
        <v>93</v>
      </c>
    </row>
    <row r="317" spans="1:35" ht="12.5" x14ac:dyDescent="0.25">
      <c r="A317" s="1">
        <v>313</v>
      </c>
      <c r="B317" s="1" t="s">
        <v>974</v>
      </c>
      <c r="C317" s="1" t="s">
        <v>975</v>
      </c>
      <c r="D317" s="1" t="s">
        <v>367</v>
      </c>
      <c r="E317" s="1" t="s">
        <v>102</v>
      </c>
      <c r="F317" s="1" t="s">
        <v>74</v>
      </c>
      <c r="G317" s="1" t="s">
        <v>40</v>
      </c>
      <c r="H317" s="1" t="s">
        <v>88</v>
      </c>
      <c r="I317" s="1" t="s">
        <v>42</v>
      </c>
      <c r="J317" s="1">
        <v>8.5</v>
      </c>
      <c r="K317" s="1" t="s">
        <v>976</v>
      </c>
      <c r="L317" s="1" t="s">
        <v>44</v>
      </c>
      <c r="M317" s="1" t="s">
        <v>45</v>
      </c>
      <c r="N317" s="1" t="s">
        <v>84</v>
      </c>
      <c r="O317" s="2">
        <v>45758</v>
      </c>
      <c r="P317" s="2">
        <v>45766</v>
      </c>
      <c r="Q317" s="1" t="b">
        <v>0</v>
      </c>
      <c r="S317" s="1" t="b">
        <v>0</v>
      </c>
      <c r="U317" s="1" t="b">
        <v>0</v>
      </c>
      <c r="W317" s="1" t="b">
        <v>0</v>
      </c>
      <c r="Y317" s="1">
        <v>89</v>
      </c>
      <c r="Z317" s="1">
        <v>73</v>
      </c>
      <c r="AA317" s="1">
        <v>79</v>
      </c>
      <c r="AB317" s="1" t="b">
        <v>0</v>
      </c>
      <c r="AD317" s="1" t="b">
        <v>0</v>
      </c>
      <c r="AF317" s="1" t="s">
        <v>77</v>
      </c>
      <c r="AG317" s="1" t="s">
        <v>69</v>
      </c>
      <c r="AH317" s="1">
        <v>8</v>
      </c>
      <c r="AI317" s="1" t="s">
        <v>135</v>
      </c>
    </row>
    <row r="318" spans="1:35" ht="12.5" x14ac:dyDescent="0.25">
      <c r="A318" s="1">
        <v>314</v>
      </c>
      <c r="B318" s="1" t="s">
        <v>977</v>
      </c>
      <c r="C318" s="1" t="s">
        <v>978</v>
      </c>
      <c r="D318" s="1" t="s">
        <v>271</v>
      </c>
      <c r="E318" s="1" t="s">
        <v>52</v>
      </c>
      <c r="F318" s="1" t="s">
        <v>63</v>
      </c>
      <c r="G318" s="1" t="s">
        <v>139</v>
      </c>
      <c r="H318" s="1" t="s">
        <v>41</v>
      </c>
      <c r="I318" s="1" t="s">
        <v>82</v>
      </c>
      <c r="J318" s="1">
        <v>0</v>
      </c>
      <c r="K318" s="1" t="s">
        <v>283</v>
      </c>
      <c r="L318" s="1" t="s">
        <v>141</v>
      </c>
      <c r="M318" s="1" t="s">
        <v>123</v>
      </c>
      <c r="N318" s="1" t="s">
        <v>92</v>
      </c>
      <c r="O318" s="2">
        <v>45744</v>
      </c>
      <c r="P318" s="2">
        <v>45746</v>
      </c>
      <c r="Q318" s="1" t="b">
        <v>0</v>
      </c>
      <c r="S318" s="1" t="b">
        <v>0</v>
      </c>
      <c r="U318" s="1" t="b">
        <v>0</v>
      </c>
      <c r="W318" s="1" t="b">
        <v>0</v>
      </c>
      <c r="Y318" s="1">
        <v>61</v>
      </c>
      <c r="Z318" s="1">
        <v>76</v>
      </c>
      <c r="AA318" s="1">
        <v>72</v>
      </c>
      <c r="AB318" s="1" t="b">
        <v>0</v>
      </c>
      <c r="AD318" s="1" t="b">
        <v>0</v>
      </c>
      <c r="AF318" s="1" t="s">
        <v>77</v>
      </c>
      <c r="AG318" s="1" t="s">
        <v>69</v>
      </c>
      <c r="AH318" s="1">
        <v>2</v>
      </c>
      <c r="AI318" s="1" t="s">
        <v>135</v>
      </c>
    </row>
    <row r="319" spans="1:35" ht="12.5" hidden="1" x14ac:dyDescent="0.25">
      <c r="A319" s="1">
        <v>315</v>
      </c>
      <c r="B319" s="1" t="s">
        <v>979</v>
      </c>
      <c r="C319" s="1" t="s">
        <v>980</v>
      </c>
      <c r="D319" s="1" t="s">
        <v>497</v>
      </c>
      <c r="E319" s="1" t="s">
        <v>38</v>
      </c>
      <c r="F319" s="1" t="s">
        <v>111</v>
      </c>
      <c r="G319" s="1" t="s">
        <v>75</v>
      </c>
      <c r="H319" s="1" t="s">
        <v>41</v>
      </c>
      <c r="I319" s="1" t="s">
        <v>42</v>
      </c>
      <c r="J319" s="1">
        <v>5.3</v>
      </c>
      <c r="K319" s="1" t="s">
        <v>610</v>
      </c>
      <c r="L319" s="1" t="s">
        <v>55</v>
      </c>
      <c r="M319" s="1" t="s">
        <v>129</v>
      </c>
      <c r="N319" s="1" t="s">
        <v>92</v>
      </c>
      <c r="O319" s="2">
        <v>45728</v>
      </c>
      <c r="P319" s="2">
        <v>45734</v>
      </c>
      <c r="Q319" s="1" t="b">
        <v>1</v>
      </c>
      <c r="R319" s="1">
        <v>8</v>
      </c>
      <c r="S319" s="1" t="b">
        <v>1</v>
      </c>
      <c r="T319" s="2">
        <v>45738</v>
      </c>
      <c r="U319" s="1" t="b">
        <v>0</v>
      </c>
      <c r="W319" s="1" t="b">
        <v>0</v>
      </c>
      <c r="Y319" s="1">
        <v>75</v>
      </c>
      <c r="Z319" s="1">
        <v>60</v>
      </c>
      <c r="AA319" s="1">
        <v>70</v>
      </c>
      <c r="AB319" s="1" t="b">
        <v>0</v>
      </c>
      <c r="AD319" s="1" t="b">
        <v>0</v>
      </c>
      <c r="AF319" s="1" t="s">
        <v>151</v>
      </c>
      <c r="AH319" s="1">
        <v>10</v>
      </c>
      <c r="AI319" s="1" t="s">
        <v>135</v>
      </c>
    </row>
    <row r="320" spans="1:35" ht="12.5" hidden="1" x14ac:dyDescent="0.25">
      <c r="A320" s="1">
        <v>316</v>
      </c>
      <c r="B320" s="1" t="s">
        <v>981</v>
      </c>
      <c r="C320" s="1" t="s">
        <v>982</v>
      </c>
      <c r="D320" s="1" t="s">
        <v>229</v>
      </c>
      <c r="E320" s="1" t="s">
        <v>52</v>
      </c>
      <c r="F320" s="1" t="s">
        <v>74</v>
      </c>
      <c r="G320" s="1" t="s">
        <v>75</v>
      </c>
      <c r="H320" s="1" t="s">
        <v>41</v>
      </c>
      <c r="I320" s="1" t="s">
        <v>103</v>
      </c>
      <c r="J320" s="1">
        <v>11.8</v>
      </c>
      <c r="K320" s="1" t="s">
        <v>250</v>
      </c>
      <c r="L320" s="1" t="s">
        <v>90</v>
      </c>
      <c r="M320" s="1" t="s">
        <v>45</v>
      </c>
      <c r="N320" s="1" t="s">
        <v>46</v>
      </c>
      <c r="O320" s="2">
        <v>45698</v>
      </c>
      <c r="P320" s="2">
        <v>45700</v>
      </c>
      <c r="Q320" s="1" t="b">
        <v>1</v>
      </c>
      <c r="R320" s="1">
        <v>7</v>
      </c>
      <c r="S320" s="1" t="b">
        <v>0</v>
      </c>
      <c r="U320" s="1" t="b">
        <v>0</v>
      </c>
      <c r="W320" s="1" t="b">
        <v>0</v>
      </c>
      <c r="Y320" s="1">
        <v>97</v>
      </c>
      <c r="Z320" s="1">
        <v>82</v>
      </c>
      <c r="AA320" s="1">
        <v>91</v>
      </c>
      <c r="AB320" s="1" t="b">
        <v>0</v>
      </c>
      <c r="AD320" s="1" t="b">
        <v>0</v>
      </c>
      <c r="AF320" s="1" t="s">
        <v>57</v>
      </c>
      <c r="AH320" s="1">
        <v>2</v>
      </c>
      <c r="AI320" s="1" t="s">
        <v>165</v>
      </c>
    </row>
    <row r="321" spans="1:35" ht="12.5" hidden="1" x14ac:dyDescent="0.25">
      <c r="A321" s="1">
        <v>317</v>
      </c>
      <c r="B321" s="1" t="s">
        <v>983</v>
      </c>
      <c r="C321" s="1" t="s">
        <v>984</v>
      </c>
      <c r="D321" s="1" t="s">
        <v>623</v>
      </c>
      <c r="E321" s="1" t="s">
        <v>102</v>
      </c>
      <c r="F321" s="1" t="s">
        <v>63</v>
      </c>
      <c r="G321" s="1" t="s">
        <v>139</v>
      </c>
      <c r="H321" s="1" t="s">
        <v>41</v>
      </c>
      <c r="I321" s="1" t="s">
        <v>53</v>
      </c>
      <c r="J321" s="1">
        <v>4</v>
      </c>
      <c r="K321" s="1" t="s">
        <v>985</v>
      </c>
      <c r="L321" s="1" t="s">
        <v>67</v>
      </c>
      <c r="M321" s="1" t="s">
        <v>146</v>
      </c>
      <c r="N321" s="1" t="s">
        <v>46</v>
      </c>
      <c r="O321" s="2">
        <v>45708</v>
      </c>
      <c r="P321" s="2">
        <v>45708</v>
      </c>
      <c r="Q321" s="1" t="b">
        <v>1</v>
      </c>
      <c r="R321" s="1">
        <v>9</v>
      </c>
      <c r="S321" s="1" t="b">
        <v>1</v>
      </c>
      <c r="T321" s="2">
        <v>45713</v>
      </c>
      <c r="U321" s="1" t="b">
        <v>1</v>
      </c>
      <c r="V321" s="2">
        <v>45727</v>
      </c>
      <c r="W321" s="1" t="b">
        <v>0</v>
      </c>
      <c r="Y321" s="1">
        <v>67</v>
      </c>
      <c r="Z321" s="1">
        <v>75</v>
      </c>
      <c r="AA321" s="1">
        <v>76</v>
      </c>
      <c r="AB321" s="1" t="b">
        <v>0</v>
      </c>
      <c r="AD321" s="1" t="b">
        <v>0</v>
      </c>
      <c r="AF321" s="1" t="s">
        <v>105</v>
      </c>
      <c r="AH321" s="1">
        <v>19</v>
      </c>
      <c r="AI321" s="1" t="s">
        <v>70</v>
      </c>
    </row>
    <row r="322" spans="1:35" ht="12.5" hidden="1" x14ac:dyDescent="0.25">
      <c r="A322" s="1">
        <v>318</v>
      </c>
      <c r="B322" s="1" t="s">
        <v>986</v>
      </c>
      <c r="C322" s="1" t="s">
        <v>987</v>
      </c>
      <c r="D322" s="1" t="s">
        <v>195</v>
      </c>
      <c r="E322" s="1" t="s">
        <v>102</v>
      </c>
      <c r="F322" s="1" t="s">
        <v>39</v>
      </c>
      <c r="G322" s="1" t="s">
        <v>97</v>
      </c>
      <c r="H322" s="1" t="s">
        <v>65</v>
      </c>
      <c r="I322" s="1" t="s">
        <v>42</v>
      </c>
      <c r="J322" s="1">
        <v>7.7</v>
      </c>
      <c r="K322" s="1" t="s">
        <v>905</v>
      </c>
      <c r="L322" s="1" t="s">
        <v>114</v>
      </c>
      <c r="M322" s="1" t="s">
        <v>129</v>
      </c>
      <c r="N322" s="1" t="s">
        <v>116</v>
      </c>
      <c r="O322" s="2">
        <v>45794</v>
      </c>
      <c r="P322" s="2">
        <v>45803</v>
      </c>
      <c r="Q322" s="1" t="b">
        <v>1</v>
      </c>
      <c r="R322" s="1">
        <v>1</v>
      </c>
      <c r="S322" s="1" t="b">
        <v>0</v>
      </c>
      <c r="U322" s="1" t="b">
        <v>0</v>
      </c>
      <c r="W322" s="1" t="b">
        <v>0</v>
      </c>
      <c r="Y322" s="1">
        <v>71</v>
      </c>
      <c r="Z322" s="1">
        <v>68</v>
      </c>
      <c r="AA322" s="1">
        <v>72</v>
      </c>
      <c r="AB322" s="1" t="b">
        <v>0</v>
      </c>
      <c r="AD322" s="1" t="b">
        <v>0</v>
      </c>
      <c r="AF322" s="1" t="s">
        <v>57</v>
      </c>
      <c r="AH322" s="1">
        <v>9</v>
      </c>
      <c r="AI322" s="1" t="s">
        <v>78</v>
      </c>
    </row>
    <row r="323" spans="1:35" ht="12.5" hidden="1" x14ac:dyDescent="0.25">
      <c r="A323" s="1">
        <v>319</v>
      </c>
      <c r="B323" s="1" t="s">
        <v>988</v>
      </c>
      <c r="C323" s="1" t="s">
        <v>989</v>
      </c>
      <c r="D323" s="1" t="s">
        <v>344</v>
      </c>
      <c r="E323" s="1" t="s">
        <v>62</v>
      </c>
      <c r="F323" s="1" t="s">
        <v>111</v>
      </c>
      <c r="G323" s="1" t="s">
        <v>40</v>
      </c>
      <c r="H323" s="1" t="s">
        <v>65</v>
      </c>
      <c r="I323" s="1" t="s">
        <v>53</v>
      </c>
      <c r="J323" s="1">
        <v>5.0999999999999996</v>
      </c>
      <c r="K323" s="1" t="s">
        <v>678</v>
      </c>
      <c r="L323" s="1" t="s">
        <v>90</v>
      </c>
      <c r="M323" s="1" t="s">
        <v>68</v>
      </c>
      <c r="N323" s="1" t="s">
        <v>84</v>
      </c>
      <c r="O323" s="2">
        <v>45668</v>
      </c>
      <c r="P323" s="2">
        <v>45670</v>
      </c>
      <c r="Q323" s="1" t="b">
        <v>1</v>
      </c>
      <c r="R323" s="1">
        <v>3</v>
      </c>
      <c r="S323" s="1" t="b">
        <v>1</v>
      </c>
      <c r="T323" s="2">
        <v>45679</v>
      </c>
      <c r="U323" s="1" t="b">
        <v>1</v>
      </c>
      <c r="V323" s="2">
        <v>45684</v>
      </c>
      <c r="W323" s="1" t="b">
        <v>1</v>
      </c>
      <c r="X323" s="2">
        <v>45685</v>
      </c>
      <c r="Y323" s="1">
        <v>72</v>
      </c>
      <c r="Z323" s="1">
        <v>69</v>
      </c>
      <c r="AA323" s="1">
        <v>70</v>
      </c>
      <c r="AB323" s="1" t="b">
        <v>0</v>
      </c>
      <c r="AD323" s="1" t="b">
        <v>0</v>
      </c>
      <c r="AF323" s="1" t="s">
        <v>47</v>
      </c>
      <c r="AG323" s="1" t="s">
        <v>361</v>
      </c>
      <c r="AH323" s="1">
        <v>17</v>
      </c>
      <c r="AI323" s="1" t="s">
        <v>93</v>
      </c>
    </row>
    <row r="324" spans="1:35" ht="12.5" hidden="1" x14ac:dyDescent="0.25">
      <c r="A324" s="1">
        <v>320</v>
      </c>
      <c r="B324" s="1" t="s">
        <v>990</v>
      </c>
      <c r="C324" s="1" t="s">
        <v>991</v>
      </c>
      <c r="D324" s="1" t="s">
        <v>534</v>
      </c>
      <c r="E324" s="1" t="s">
        <v>102</v>
      </c>
      <c r="F324" s="1" t="s">
        <v>111</v>
      </c>
      <c r="G324" s="1" t="s">
        <v>75</v>
      </c>
      <c r="H324" s="1" t="s">
        <v>88</v>
      </c>
      <c r="I324" s="1" t="s">
        <v>42</v>
      </c>
      <c r="J324" s="1">
        <v>9.1</v>
      </c>
      <c r="K324" s="1" t="s">
        <v>196</v>
      </c>
      <c r="L324" s="1" t="s">
        <v>55</v>
      </c>
      <c r="M324" s="1" t="s">
        <v>45</v>
      </c>
      <c r="N324" s="1" t="s">
        <v>92</v>
      </c>
      <c r="O324" s="2">
        <v>45719</v>
      </c>
      <c r="P324" s="2">
        <v>45724</v>
      </c>
      <c r="Q324" s="1" t="b">
        <v>1</v>
      </c>
      <c r="R324" s="1">
        <v>5</v>
      </c>
      <c r="S324" s="1" t="b">
        <v>1</v>
      </c>
      <c r="T324" s="2">
        <v>45727</v>
      </c>
      <c r="U324" s="1" t="b">
        <v>1</v>
      </c>
      <c r="V324" s="2">
        <v>45740</v>
      </c>
      <c r="W324" s="1" t="b">
        <v>1</v>
      </c>
      <c r="X324" s="2">
        <v>45747</v>
      </c>
      <c r="Y324" s="1">
        <v>80</v>
      </c>
      <c r="Z324" s="1">
        <v>80</v>
      </c>
      <c r="AA324" s="1">
        <v>71</v>
      </c>
      <c r="AB324" s="1" t="b">
        <v>1</v>
      </c>
      <c r="AC324" s="2">
        <v>45749</v>
      </c>
      <c r="AD324" s="1" t="b">
        <v>1</v>
      </c>
      <c r="AE324" s="2">
        <v>45751</v>
      </c>
      <c r="AF324" s="1" t="s">
        <v>134</v>
      </c>
      <c r="AH324" s="1">
        <v>32</v>
      </c>
      <c r="AI324" s="1" t="s">
        <v>48</v>
      </c>
    </row>
    <row r="325" spans="1:35" ht="12.5" hidden="1" x14ac:dyDescent="0.25">
      <c r="A325" s="1">
        <v>321</v>
      </c>
      <c r="B325" s="1" t="s">
        <v>992</v>
      </c>
      <c r="C325" s="1" t="s">
        <v>993</v>
      </c>
      <c r="D325" s="1" t="s">
        <v>560</v>
      </c>
      <c r="E325" s="1" t="s">
        <v>52</v>
      </c>
      <c r="F325" s="1" t="s">
        <v>74</v>
      </c>
      <c r="G325" s="1" t="s">
        <v>75</v>
      </c>
      <c r="H325" s="1" t="s">
        <v>41</v>
      </c>
      <c r="I325" s="1" t="s">
        <v>53</v>
      </c>
      <c r="J325" s="1">
        <v>3</v>
      </c>
      <c r="K325" s="1" t="s">
        <v>769</v>
      </c>
      <c r="L325" s="1" t="s">
        <v>55</v>
      </c>
      <c r="M325" s="1" t="s">
        <v>129</v>
      </c>
      <c r="N325" s="1" t="s">
        <v>116</v>
      </c>
      <c r="O325" s="2">
        <v>45699</v>
      </c>
      <c r="P325" s="2">
        <v>45702</v>
      </c>
      <c r="Q325" s="1" t="b">
        <v>1</v>
      </c>
      <c r="R325" s="1">
        <v>0</v>
      </c>
      <c r="S325" s="1" t="b">
        <v>1</v>
      </c>
      <c r="T325" s="2">
        <v>45708</v>
      </c>
      <c r="U325" s="1" t="b">
        <v>1</v>
      </c>
      <c r="V325" s="2">
        <v>45710</v>
      </c>
      <c r="W325" s="1" t="b">
        <v>0</v>
      </c>
      <c r="Y325" s="1">
        <v>78</v>
      </c>
      <c r="Z325" s="1">
        <v>69</v>
      </c>
      <c r="AA325" s="1">
        <v>65</v>
      </c>
      <c r="AB325" s="1" t="b">
        <v>0</v>
      </c>
      <c r="AD325" s="1" t="b">
        <v>0</v>
      </c>
      <c r="AF325" s="1" t="s">
        <v>105</v>
      </c>
      <c r="AH325" s="1">
        <v>11</v>
      </c>
      <c r="AI325" s="1" t="s">
        <v>157</v>
      </c>
    </row>
    <row r="326" spans="1:35" ht="12.5" hidden="1" x14ac:dyDescent="0.25">
      <c r="A326" s="1">
        <v>322</v>
      </c>
      <c r="B326" s="1" t="s">
        <v>994</v>
      </c>
      <c r="C326" s="1" t="s">
        <v>995</v>
      </c>
      <c r="D326" s="1" t="s">
        <v>199</v>
      </c>
      <c r="E326" s="1" t="s">
        <v>38</v>
      </c>
      <c r="F326" s="1" t="s">
        <v>63</v>
      </c>
      <c r="G326" s="1" t="s">
        <v>139</v>
      </c>
      <c r="H326" s="1" t="s">
        <v>41</v>
      </c>
      <c r="I326" s="1" t="s">
        <v>103</v>
      </c>
      <c r="J326" s="1">
        <v>8.6</v>
      </c>
      <c r="K326" s="1" t="s">
        <v>76</v>
      </c>
      <c r="L326" s="1" t="s">
        <v>55</v>
      </c>
      <c r="M326" s="1" t="s">
        <v>91</v>
      </c>
      <c r="N326" s="1" t="s">
        <v>84</v>
      </c>
      <c r="O326" s="2">
        <v>45791</v>
      </c>
      <c r="P326" s="2">
        <v>45793</v>
      </c>
      <c r="Q326" s="1" t="b">
        <v>1</v>
      </c>
      <c r="R326" s="1">
        <v>6</v>
      </c>
      <c r="S326" s="1" t="b">
        <v>1</v>
      </c>
      <c r="T326" s="2">
        <v>45799</v>
      </c>
      <c r="U326" s="1" t="b">
        <v>0</v>
      </c>
      <c r="W326" s="1" t="b">
        <v>0</v>
      </c>
      <c r="Y326" s="1">
        <v>100</v>
      </c>
      <c r="Z326" s="1">
        <v>75</v>
      </c>
      <c r="AA326" s="1">
        <v>90</v>
      </c>
      <c r="AB326" s="1" t="b">
        <v>0</v>
      </c>
      <c r="AD326" s="1" t="b">
        <v>0</v>
      </c>
      <c r="AF326" s="1" t="s">
        <v>151</v>
      </c>
      <c r="AG326" s="1" t="s">
        <v>361</v>
      </c>
      <c r="AH326" s="1">
        <v>8</v>
      </c>
      <c r="AI326" s="1" t="s">
        <v>118</v>
      </c>
    </row>
    <row r="327" spans="1:35" ht="12.5" hidden="1" x14ac:dyDescent="0.25">
      <c r="A327" s="1">
        <v>323</v>
      </c>
      <c r="B327" s="1" t="s">
        <v>996</v>
      </c>
      <c r="C327" s="1" t="s">
        <v>997</v>
      </c>
      <c r="D327" s="1" t="s">
        <v>37</v>
      </c>
      <c r="E327" s="1" t="s">
        <v>52</v>
      </c>
      <c r="F327" s="1" t="s">
        <v>39</v>
      </c>
      <c r="G327" s="1" t="s">
        <v>64</v>
      </c>
      <c r="H327" s="1" t="s">
        <v>88</v>
      </c>
      <c r="I327" s="1" t="s">
        <v>42</v>
      </c>
      <c r="J327" s="1">
        <v>7.8</v>
      </c>
      <c r="K327" s="1" t="s">
        <v>512</v>
      </c>
      <c r="L327" s="1" t="s">
        <v>67</v>
      </c>
      <c r="M327" s="1" t="s">
        <v>68</v>
      </c>
      <c r="N327" s="1" t="s">
        <v>84</v>
      </c>
      <c r="O327" s="2">
        <v>45696</v>
      </c>
      <c r="P327" s="2">
        <v>45697</v>
      </c>
      <c r="Q327" s="1" t="b">
        <v>1</v>
      </c>
      <c r="R327" s="1">
        <v>8</v>
      </c>
      <c r="S327" s="1" t="b">
        <v>0</v>
      </c>
      <c r="U327" s="1" t="b">
        <v>0</v>
      </c>
      <c r="W327" s="1" t="b">
        <v>0</v>
      </c>
      <c r="Y327" s="1">
        <v>95</v>
      </c>
      <c r="Z327" s="1">
        <v>95</v>
      </c>
      <c r="AA327" s="1">
        <v>90</v>
      </c>
      <c r="AB327" s="1" t="b">
        <v>0</v>
      </c>
      <c r="AD327" s="1" t="b">
        <v>0</v>
      </c>
      <c r="AF327" s="1" t="s">
        <v>57</v>
      </c>
      <c r="AG327" s="1" t="s">
        <v>124</v>
      </c>
      <c r="AH327" s="1">
        <v>1</v>
      </c>
      <c r="AI327" s="1" t="s">
        <v>135</v>
      </c>
    </row>
    <row r="328" spans="1:35" ht="12.5" hidden="1" x14ac:dyDescent="0.25">
      <c r="A328" s="1">
        <v>324</v>
      </c>
      <c r="B328" s="1" t="s">
        <v>998</v>
      </c>
      <c r="C328" s="1" t="s">
        <v>999</v>
      </c>
      <c r="D328" s="1" t="s">
        <v>344</v>
      </c>
      <c r="E328" s="1" t="s">
        <v>52</v>
      </c>
      <c r="F328" s="1" t="s">
        <v>39</v>
      </c>
      <c r="G328" s="1" t="s">
        <v>75</v>
      </c>
      <c r="H328" s="1" t="s">
        <v>88</v>
      </c>
      <c r="I328" s="1" t="s">
        <v>42</v>
      </c>
      <c r="J328" s="1">
        <v>6.6</v>
      </c>
      <c r="K328" s="1" t="s">
        <v>1000</v>
      </c>
      <c r="L328" s="1" t="s">
        <v>44</v>
      </c>
      <c r="M328" s="1" t="s">
        <v>56</v>
      </c>
      <c r="N328" s="1" t="s">
        <v>92</v>
      </c>
      <c r="O328" s="2">
        <v>45758</v>
      </c>
      <c r="P328" s="2">
        <v>45758</v>
      </c>
      <c r="Q328" s="1" t="b">
        <v>1</v>
      </c>
      <c r="R328" s="1">
        <v>8</v>
      </c>
      <c r="S328" s="1" t="b">
        <v>1</v>
      </c>
      <c r="T328" s="2">
        <v>45760</v>
      </c>
      <c r="U328" s="1" t="b">
        <v>0</v>
      </c>
      <c r="W328" s="1" t="b">
        <v>0</v>
      </c>
      <c r="Y328" s="1">
        <v>57</v>
      </c>
      <c r="Z328" s="1">
        <v>87</v>
      </c>
      <c r="AA328" s="1">
        <v>86</v>
      </c>
      <c r="AB328" s="1" t="b">
        <v>0</v>
      </c>
      <c r="AD328" s="1" t="b">
        <v>0</v>
      </c>
      <c r="AF328" s="1" t="s">
        <v>151</v>
      </c>
      <c r="AG328" s="1" t="s">
        <v>152</v>
      </c>
      <c r="AH328" s="1">
        <v>2</v>
      </c>
      <c r="AI328" s="1" t="s">
        <v>70</v>
      </c>
    </row>
    <row r="329" spans="1:35" ht="12.5" hidden="1" x14ac:dyDescent="0.25">
      <c r="A329" s="1">
        <v>325</v>
      </c>
      <c r="B329" s="1" t="s">
        <v>1001</v>
      </c>
      <c r="C329" s="1" t="s">
        <v>1002</v>
      </c>
      <c r="D329" s="1" t="s">
        <v>253</v>
      </c>
      <c r="E329" s="1" t="s">
        <v>38</v>
      </c>
      <c r="F329" s="1" t="s">
        <v>74</v>
      </c>
      <c r="G329" s="1" t="s">
        <v>64</v>
      </c>
      <c r="H329" s="1" t="s">
        <v>41</v>
      </c>
      <c r="I329" s="1" t="s">
        <v>53</v>
      </c>
      <c r="J329" s="1">
        <v>3.8</v>
      </c>
      <c r="K329" s="1" t="s">
        <v>122</v>
      </c>
      <c r="L329" s="1" t="s">
        <v>67</v>
      </c>
      <c r="M329" s="1" t="s">
        <v>91</v>
      </c>
      <c r="N329" s="1" t="s">
        <v>116</v>
      </c>
      <c r="O329" s="2">
        <v>45792</v>
      </c>
      <c r="P329" s="2">
        <v>45795</v>
      </c>
      <c r="Q329" s="1" t="b">
        <v>1</v>
      </c>
      <c r="R329" s="1">
        <v>1</v>
      </c>
      <c r="S329" s="1" t="b">
        <v>1</v>
      </c>
      <c r="T329" s="2">
        <v>45804</v>
      </c>
      <c r="U329" s="1" t="b">
        <v>0</v>
      </c>
      <c r="W329" s="1" t="b">
        <v>0</v>
      </c>
      <c r="Y329" s="1">
        <v>65</v>
      </c>
      <c r="Z329" s="1">
        <v>86</v>
      </c>
      <c r="AA329" s="1">
        <v>75</v>
      </c>
      <c r="AB329" s="1" t="b">
        <v>0</v>
      </c>
      <c r="AD329" s="1" t="b">
        <v>0</v>
      </c>
      <c r="AF329" s="1" t="s">
        <v>151</v>
      </c>
      <c r="AG329" s="1" t="s">
        <v>287</v>
      </c>
      <c r="AH329" s="1">
        <v>12</v>
      </c>
      <c r="AI329" s="1" t="s">
        <v>48</v>
      </c>
    </row>
    <row r="330" spans="1:35" ht="12.5" hidden="1" x14ac:dyDescent="0.25">
      <c r="A330" s="1">
        <v>326</v>
      </c>
      <c r="B330" s="1" t="s">
        <v>1003</v>
      </c>
      <c r="C330" s="1" t="s">
        <v>1004</v>
      </c>
      <c r="D330" s="1" t="s">
        <v>73</v>
      </c>
      <c r="E330" s="1" t="s">
        <v>62</v>
      </c>
      <c r="F330" s="1" t="s">
        <v>74</v>
      </c>
      <c r="G330" s="1" t="s">
        <v>64</v>
      </c>
      <c r="H330" s="1" t="s">
        <v>88</v>
      </c>
      <c r="I330" s="1" t="s">
        <v>103</v>
      </c>
      <c r="J330" s="1">
        <v>12.7</v>
      </c>
      <c r="K330" s="1" t="s">
        <v>645</v>
      </c>
      <c r="L330" s="1" t="s">
        <v>114</v>
      </c>
      <c r="M330" s="1" t="s">
        <v>129</v>
      </c>
      <c r="N330" s="1" t="s">
        <v>116</v>
      </c>
      <c r="O330" s="2">
        <v>45772</v>
      </c>
      <c r="P330" s="2">
        <v>45772</v>
      </c>
      <c r="Q330" s="1" t="b">
        <v>1</v>
      </c>
      <c r="R330" s="1">
        <v>11</v>
      </c>
      <c r="S330" s="1" t="b">
        <v>0</v>
      </c>
      <c r="U330" s="1" t="b">
        <v>0</v>
      </c>
      <c r="W330" s="1" t="b">
        <v>0</v>
      </c>
      <c r="Y330" s="1">
        <v>86</v>
      </c>
      <c r="Z330" s="1">
        <v>97</v>
      </c>
      <c r="AA330" s="1">
        <v>90</v>
      </c>
      <c r="AB330" s="1" t="b">
        <v>0</v>
      </c>
      <c r="AD330" s="1" t="b">
        <v>0</v>
      </c>
      <c r="AF330" s="1" t="s">
        <v>57</v>
      </c>
      <c r="AH330" s="1">
        <v>0</v>
      </c>
      <c r="AI330" s="1" t="s">
        <v>135</v>
      </c>
    </row>
    <row r="331" spans="1:35" ht="12.5" hidden="1" x14ac:dyDescent="0.25">
      <c r="A331" s="1">
        <v>327</v>
      </c>
      <c r="B331" s="1" t="s">
        <v>1005</v>
      </c>
      <c r="C331" s="1" t="s">
        <v>1006</v>
      </c>
      <c r="D331" s="1" t="s">
        <v>418</v>
      </c>
      <c r="E331" s="1" t="s">
        <v>102</v>
      </c>
      <c r="F331" s="1" t="s">
        <v>63</v>
      </c>
      <c r="G331" s="1" t="s">
        <v>112</v>
      </c>
      <c r="H331" s="1" t="s">
        <v>88</v>
      </c>
      <c r="I331" s="1" t="s">
        <v>82</v>
      </c>
      <c r="J331" s="1">
        <v>3.8</v>
      </c>
      <c r="K331" s="1" t="s">
        <v>642</v>
      </c>
      <c r="L331" s="1" t="s">
        <v>44</v>
      </c>
      <c r="M331" s="1" t="s">
        <v>45</v>
      </c>
      <c r="N331" s="1" t="s">
        <v>116</v>
      </c>
      <c r="O331" s="2">
        <v>45734</v>
      </c>
      <c r="P331" s="2">
        <v>45737</v>
      </c>
      <c r="Q331" s="1" t="b">
        <v>1</v>
      </c>
      <c r="R331" s="1">
        <v>0</v>
      </c>
      <c r="S331" s="1" t="b">
        <v>1</v>
      </c>
      <c r="T331" s="2">
        <v>45742</v>
      </c>
      <c r="U331" s="1" t="b">
        <v>1</v>
      </c>
      <c r="V331" s="2">
        <v>45756</v>
      </c>
      <c r="W331" s="1" t="b">
        <v>1</v>
      </c>
      <c r="X331" s="2">
        <v>45766</v>
      </c>
      <c r="Y331" s="1">
        <v>51</v>
      </c>
      <c r="Z331" s="1">
        <v>70</v>
      </c>
      <c r="AA331" s="1">
        <v>55</v>
      </c>
      <c r="AB331" s="1" t="b">
        <v>0</v>
      </c>
      <c r="AD331" s="1" t="b">
        <v>0</v>
      </c>
      <c r="AF331" s="1" t="s">
        <v>47</v>
      </c>
      <c r="AG331" s="1" t="s">
        <v>124</v>
      </c>
      <c r="AH331" s="1">
        <v>32</v>
      </c>
      <c r="AI331" s="1" t="s">
        <v>48</v>
      </c>
    </row>
    <row r="332" spans="1:35" ht="12.5" x14ac:dyDescent="0.25">
      <c r="A332" s="1">
        <v>328</v>
      </c>
      <c r="B332" s="1" t="s">
        <v>1007</v>
      </c>
      <c r="C332" s="1" t="s">
        <v>1008</v>
      </c>
      <c r="D332" s="1" t="s">
        <v>225</v>
      </c>
      <c r="E332" s="1" t="s">
        <v>102</v>
      </c>
      <c r="F332" s="1" t="s">
        <v>63</v>
      </c>
      <c r="G332" s="1" t="s">
        <v>75</v>
      </c>
      <c r="H332" s="1" t="s">
        <v>65</v>
      </c>
      <c r="I332" s="1" t="s">
        <v>103</v>
      </c>
      <c r="J332" s="1">
        <v>7.2</v>
      </c>
      <c r="K332" s="1" t="s">
        <v>1009</v>
      </c>
      <c r="L332" s="1" t="s">
        <v>67</v>
      </c>
      <c r="M332" s="1" t="s">
        <v>68</v>
      </c>
      <c r="N332" s="1" t="s">
        <v>92</v>
      </c>
      <c r="O332" s="2">
        <v>45795</v>
      </c>
      <c r="P332" s="2">
        <v>45795</v>
      </c>
      <c r="Q332" s="1" t="b">
        <v>0</v>
      </c>
      <c r="S332" s="1" t="b">
        <v>0</v>
      </c>
      <c r="U332" s="1" t="b">
        <v>0</v>
      </c>
      <c r="W332" s="1" t="b">
        <v>0</v>
      </c>
      <c r="Y332" s="1">
        <v>67</v>
      </c>
      <c r="Z332" s="1">
        <v>78</v>
      </c>
      <c r="AA332" s="1">
        <v>79</v>
      </c>
      <c r="AB332" s="1" t="b">
        <v>0</v>
      </c>
      <c r="AD332" s="1" t="b">
        <v>0</v>
      </c>
      <c r="AF332" s="1" t="s">
        <v>77</v>
      </c>
      <c r="AG332" s="1" t="s">
        <v>69</v>
      </c>
      <c r="AH332" s="1">
        <v>0</v>
      </c>
      <c r="AI332" s="1" t="s">
        <v>165</v>
      </c>
    </row>
    <row r="333" spans="1:35" ht="12.5" x14ac:dyDescent="0.25">
      <c r="A333" s="1">
        <v>329</v>
      </c>
      <c r="B333" s="1" t="s">
        <v>1010</v>
      </c>
      <c r="C333" s="1" t="s">
        <v>1011</v>
      </c>
      <c r="D333" s="1" t="s">
        <v>96</v>
      </c>
      <c r="E333" s="1" t="s">
        <v>102</v>
      </c>
      <c r="F333" s="1" t="s">
        <v>39</v>
      </c>
      <c r="G333" s="1" t="s">
        <v>75</v>
      </c>
      <c r="H333" s="1" t="s">
        <v>41</v>
      </c>
      <c r="I333" s="1" t="s">
        <v>82</v>
      </c>
      <c r="J333" s="1">
        <v>3</v>
      </c>
      <c r="K333" s="1" t="s">
        <v>711</v>
      </c>
      <c r="L333" s="1" t="s">
        <v>141</v>
      </c>
      <c r="M333" s="1" t="s">
        <v>123</v>
      </c>
      <c r="N333" s="1" t="s">
        <v>46</v>
      </c>
      <c r="O333" s="2">
        <v>45719</v>
      </c>
      <c r="P333" s="2">
        <v>45723</v>
      </c>
      <c r="Q333" s="1" t="b">
        <v>0</v>
      </c>
      <c r="S333" s="1" t="b">
        <v>0</v>
      </c>
      <c r="U333" s="1" t="b">
        <v>0</v>
      </c>
      <c r="W333" s="1" t="b">
        <v>0</v>
      </c>
      <c r="Y333" s="1">
        <v>99</v>
      </c>
      <c r="Z333" s="1">
        <v>65</v>
      </c>
      <c r="AA333" s="1">
        <v>83</v>
      </c>
      <c r="AB333" s="1" t="b">
        <v>0</v>
      </c>
      <c r="AD333" s="1" t="b">
        <v>0</v>
      </c>
      <c r="AF333" s="1" t="s">
        <v>77</v>
      </c>
      <c r="AG333" s="1" t="s">
        <v>69</v>
      </c>
      <c r="AH333" s="1">
        <v>4</v>
      </c>
      <c r="AI333" s="1" t="s">
        <v>78</v>
      </c>
    </row>
    <row r="334" spans="1:35" ht="12.5" hidden="1" x14ac:dyDescent="0.25">
      <c r="A334" s="1">
        <v>330</v>
      </c>
      <c r="B334" s="1" t="s">
        <v>1012</v>
      </c>
      <c r="C334" s="1" t="s">
        <v>1013</v>
      </c>
      <c r="D334" s="1" t="s">
        <v>1014</v>
      </c>
      <c r="E334" s="1" t="s">
        <v>52</v>
      </c>
      <c r="F334" s="1" t="s">
        <v>63</v>
      </c>
      <c r="G334" s="1" t="s">
        <v>112</v>
      </c>
      <c r="H334" s="1" t="s">
        <v>65</v>
      </c>
      <c r="I334" s="1" t="s">
        <v>53</v>
      </c>
      <c r="J334" s="1">
        <v>4.5999999999999996</v>
      </c>
      <c r="K334" s="1" t="s">
        <v>839</v>
      </c>
      <c r="L334" s="1" t="s">
        <v>55</v>
      </c>
      <c r="M334" s="1" t="s">
        <v>146</v>
      </c>
      <c r="N334" s="1" t="s">
        <v>92</v>
      </c>
      <c r="O334" s="2">
        <v>45686</v>
      </c>
      <c r="P334" s="2">
        <v>45687</v>
      </c>
      <c r="Q334" s="1" t="b">
        <v>1</v>
      </c>
      <c r="R334" s="1">
        <v>4</v>
      </c>
      <c r="S334" s="1" t="b">
        <v>1</v>
      </c>
      <c r="T334" s="2">
        <v>45690</v>
      </c>
      <c r="U334" s="1" t="b">
        <v>1</v>
      </c>
      <c r="V334" s="2">
        <v>45703</v>
      </c>
      <c r="W334" s="1" t="b">
        <v>1</v>
      </c>
      <c r="X334" s="2">
        <v>45705</v>
      </c>
      <c r="Y334" s="1">
        <v>61</v>
      </c>
      <c r="Z334" s="1">
        <v>87</v>
      </c>
      <c r="AA334" s="1">
        <v>87</v>
      </c>
      <c r="AB334" s="1" t="b">
        <v>0</v>
      </c>
      <c r="AD334" s="1" t="b">
        <v>0</v>
      </c>
      <c r="AF334" s="1" t="s">
        <v>47</v>
      </c>
      <c r="AG334" s="1" t="s">
        <v>287</v>
      </c>
      <c r="AH334" s="1">
        <v>19</v>
      </c>
      <c r="AI334" s="1" t="s">
        <v>48</v>
      </c>
    </row>
    <row r="335" spans="1:35" ht="12.5" x14ac:dyDescent="0.25">
      <c r="A335" s="1">
        <v>331</v>
      </c>
      <c r="B335" s="1" t="s">
        <v>1015</v>
      </c>
      <c r="C335" s="1" t="s">
        <v>1016</v>
      </c>
      <c r="D335" s="1" t="s">
        <v>297</v>
      </c>
      <c r="E335" s="1" t="s">
        <v>102</v>
      </c>
      <c r="F335" s="1" t="s">
        <v>63</v>
      </c>
      <c r="G335" s="1" t="s">
        <v>75</v>
      </c>
      <c r="H335" s="1" t="s">
        <v>88</v>
      </c>
      <c r="I335" s="1" t="s">
        <v>42</v>
      </c>
      <c r="J335" s="1">
        <v>6.4</v>
      </c>
      <c r="K335" s="1" t="s">
        <v>226</v>
      </c>
      <c r="L335" s="1" t="s">
        <v>90</v>
      </c>
      <c r="M335" s="1" t="s">
        <v>129</v>
      </c>
      <c r="N335" s="1" t="s">
        <v>46</v>
      </c>
      <c r="O335" s="2">
        <v>45796</v>
      </c>
      <c r="P335" s="2">
        <v>45796</v>
      </c>
      <c r="Q335" s="1" t="b">
        <v>1</v>
      </c>
      <c r="R335" s="1">
        <v>10</v>
      </c>
      <c r="S335" s="1" t="b">
        <v>1</v>
      </c>
      <c r="T335" s="2">
        <v>45797</v>
      </c>
      <c r="U335" s="1" t="b">
        <v>1</v>
      </c>
      <c r="V335" s="2">
        <v>45809</v>
      </c>
      <c r="W335" s="1" t="b">
        <v>1</v>
      </c>
      <c r="X335" s="2">
        <v>45810</v>
      </c>
      <c r="Y335" s="1">
        <v>66</v>
      </c>
      <c r="Z335" s="1">
        <v>85</v>
      </c>
      <c r="AA335" s="1">
        <v>69</v>
      </c>
      <c r="AB335" s="1" t="b">
        <v>0</v>
      </c>
      <c r="AD335" s="1" t="b">
        <v>0</v>
      </c>
      <c r="AF335" s="1" t="s">
        <v>47</v>
      </c>
      <c r="AG335" s="1" t="s">
        <v>69</v>
      </c>
      <c r="AH335" s="1">
        <v>14</v>
      </c>
      <c r="AI335" s="1" t="s">
        <v>215</v>
      </c>
    </row>
    <row r="336" spans="1:35" ht="12.5" x14ac:dyDescent="0.25">
      <c r="A336" s="1">
        <v>332</v>
      </c>
      <c r="B336" s="1" t="s">
        <v>1017</v>
      </c>
      <c r="C336" s="1" t="s">
        <v>1018</v>
      </c>
      <c r="D336" s="1" t="s">
        <v>1019</v>
      </c>
      <c r="E336" s="1" t="s">
        <v>102</v>
      </c>
      <c r="F336" s="1" t="s">
        <v>74</v>
      </c>
      <c r="G336" s="1" t="s">
        <v>139</v>
      </c>
      <c r="H336" s="1" t="s">
        <v>41</v>
      </c>
      <c r="I336" s="1" t="s">
        <v>82</v>
      </c>
      <c r="J336" s="1">
        <v>1.7</v>
      </c>
      <c r="K336" s="1" t="s">
        <v>214</v>
      </c>
      <c r="L336" s="1" t="s">
        <v>44</v>
      </c>
      <c r="M336" s="1" t="s">
        <v>123</v>
      </c>
      <c r="N336" s="1" t="s">
        <v>46</v>
      </c>
      <c r="O336" s="2">
        <v>45796</v>
      </c>
      <c r="P336" s="2">
        <v>45798</v>
      </c>
      <c r="Q336" s="1" t="b">
        <v>0</v>
      </c>
      <c r="S336" s="1" t="b">
        <v>0</v>
      </c>
      <c r="U336" s="1" t="b">
        <v>0</v>
      </c>
      <c r="W336" s="1" t="b">
        <v>0</v>
      </c>
      <c r="Y336" s="1">
        <v>77</v>
      </c>
      <c r="Z336" s="1">
        <v>76</v>
      </c>
      <c r="AA336" s="1">
        <v>75</v>
      </c>
      <c r="AB336" s="1" t="b">
        <v>0</v>
      </c>
      <c r="AD336" s="1" t="b">
        <v>0</v>
      </c>
      <c r="AF336" s="1" t="s">
        <v>77</v>
      </c>
      <c r="AG336" s="1" t="s">
        <v>69</v>
      </c>
      <c r="AH336" s="1">
        <v>2</v>
      </c>
      <c r="AI336" s="1" t="s">
        <v>165</v>
      </c>
    </row>
    <row r="337" spans="1:35" ht="12.5" x14ac:dyDescent="0.25">
      <c r="A337" s="1">
        <v>333</v>
      </c>
      <c r="B337" s="1" t="s">
        <v>1020</v>
      </c>
      <c r="C337" s="1" t="s">
        <v>1021</v>
      </c>
      <c r="D337" s="1" t="s">
        <v>301</v>
      </c>
      <c r="E337" s="1" t="s">
        <v>102</v>
      </c>
      <c r="F337" s="1" t="s">
        <v>111</v>
      </c>
      <c r="G337" s="1" t="s">
        <v>112</v>
      </c>
      <c r="H337" s="1" t="s">
        <v>88</v>
      </c>
      <c r="I337" s="1" t="s">
        <v>53</v>
      </c>
      <c r="J337" s="1">
        <v>5.4</v>
      </c>
      <c r="K337" s="1" t="s">
        <v>678</v>
      </c>
      <c r="L337" s="1" t="s">
        <v>114</v>
      </c>
      <c r="M337" s="1" t="s">
        <v>129</v>
      </c>
      <c r="N337" s="1" t="s">
        <v>92</v>
      </c>
      <c r="O337" s="2">
        <v>45744</v>
      </c>
      <c r="P337" s="2">
        <v>45744</v>
      </c>
      <c r="Q337" s="1" t="b">
        <v>0</v>
      </c>
      <c r="S337" s="1" t="b">
        <v>0</v>
      </c>
      <c r="U337" s="1" t="b">
        <v>0</v>
      </c>
      <c r="W337" s="1" t="b">
        <v>0</v>
      </c>
      <c r="Y337" s="1">
        <v>60</v>
      </c>
      <c r="Z337" s="1">
        <v>66</v>
      </c>
      <c r="AA337" s="1">
        <v>68</v>
      </c>
      <c r="AB337" s="1" t="b">
        <v>0</v>
      </c>
      <c r="AD337" s="1" t="b">
        <v>0</v>
      </c>
      <c r="AF337" s="1" t="s">
        <v>77</v>
      </c>
      <c r="AG337" s="1" t="s">
        <v>69</v>
      </c>
      <c r="AH337" s="1">
        <v>0</v>
      </c>
      <c r="AI337" s="1" t="s">
        <v>157</v>
      </c>
    </row>
    <row r="338" spans="1:35" ht="12.5" hidden="1" x14ac:dyDescent="0.25">
      <c r="A338" s="1">
        <v>334</v>
      </c>
      <c r="B338" s="1" t="s">
        <v>1022</v>
      </c>
      <c r="C338" s="1" t="s">
        <v>1023</v>
      </c>
      <c r="D338" s="1" t="s">
        <v>664</v>
      </c>
      <c r="E338" s="1" t="s">
        <v>62</v>
      </c>
      <c r="F338" s="1" t="s">
        <v>111</v>
      </c>
      <c r="G338" s="1" t="s">
        <v>97</v>
      </c>
      <c r="H338" s="1" t="s">
        <v>41</v>
      </c>
      <c r="I338" s="1" t="s">
        <v>53</v>
      </c>
      <c r="J338" s="1">
        <v>2.7</v>
      </c>
      <c r="K338" s="1" t="s">
        <v>114</v>
      </c>
      <c r="L338" s="1" t="s">
        <v>114</v>
      </c>
      <c r="M338" s="1" t="s">
        <v>123</v>
      </c>
      <c r="N338" s="1" t="s">
        <v>92</v>
      </c>
      <c r="O338" s="2">
        <v>45765</v>
      </c>
      <c r="P338" s="2">
        <v>45765</v>
      </c>
      <c r="Q338" s="1" t="b">
        <v>1</v>
      </c>
      <c r="R338" s="1">
        <v>6</v>
      </c>
      <c r="S338" s="1" t="b">
        <v>1</v>
      </c>
      <c r="T338" s="2">
        <v>45769</v>
      </c>
      <c r="U338" s="1" t="b">
        <v>1</v>
      </c>
      <c r="V338" s="2">
        <v>45775</v>
      </c>
      <c r="W338" s="1" t="b">
        <v>1</v>
      </c>
      <c r="X338" s="2">
        <v>45782</v>
      </c>
      <c r="Y338" s="1">
        <v>71</v>
      </c>
      <c r="Z338" s="1">
        <v>62</v>
      </c>
      <c r="AA338" s="1">
        <v>68</v>
      </c>
      <c r="AB338" s="1" t="b">
        <v>0</v>
      </c>
      <c r="AD338" s="1" t="b">
        <v>0</v>
      </c>
      <c r="AF338" s="1" t="s">
        <v>47</v>
      </c>
      <c r="AH338" s="1">
        <v>17</v>
      </c>
      <c r="AI338" s="1" t="s">
        <v>157</v>
      </c>
    </row>
    <row r="339" spans="1:35" ht="12.5" hidden="1" x14ac:dyDescent="0.25">
      <c r="A339" s="1">
        <v>335</v>
      </c>
      <c r="B339" s="1" t="s">
        <v>1024</v>
      </c>
      <c r="C339" s="1" t="s">
        <v>1025</v>
      </c>
      <c r="D339" s="1" t="s">
        <v>344</v>
      </c>
      <c r="E339" s="1" t="s">
        <v>52</v>
      </c>
      <c r="F339" s="1" t="s">
        <v>39</v>
      </c>
      <c r="G339" s="1" t="s">
        <v>139</v>
      </c>
      <c r="H339" s="1" t="s">
        <v>88</v>
      </c>
      <c r="I339" s="1" t="s">
        <v>42</v>
      </c>
      <c r="J339" s="1">
        <v>9.5</v>
      </c>
      <c r="K339" s="1" t="s">
        <v>799</v>
      </c>
      <c r="L339" s="1" t="s">
        <v>67</v>
      </c>
      <c r="M339" s="1" t="s">
        <v>115</v>
      </c>
      <c r="N339" s="1" t="s">
        <v>116</v>
      </c>
      <c r="O339" s="2">
        <v>45773</v>
      </c>
      <c r="P339" s="2">
        <v>45778</v>
      </c>
      <c r="Q339" s="1" t="b">
        <v>1</v>
      </c>
      <c r="R339" s="1">
        <v>5</v>
      </c>
      <c r="S339" s="1" t="b">
        <v>1</v>
      </c>
      <c r="T339" s="2">
        <v>45783</v>
      </c>
      <c r="U339" s="1" t="b">
        <v>1</v>
      </c>
      <c r="V339" s="2">
        <v>45792</v>
      </c>
      <c r="W339" s="1" t="b">
        <v>1</v>
      </c>
      <c r="X339" s="2">
        <v>45801</v>
      </c>
      <c r="Y339" s="1">
        <v>79</v>
      </c>
      <c r="Z339" s="1">
        <v>81</v>
      </c>
      <c r="AA339" s="1">
        <v>78</v>
      </c>
      <c r="AB339" s="1" t="b">
        <v>1</v>
      </c>
      <c r="AC339" s="2">
        <v>45802</v>
      </c>
      <c r="AD339" s="1" t="b">
        <v>1</v>
      </c>
      <c r="AE339" s="2">
        <v>45809</v>
      </c>
      <c r="AF339" s="1" t="s">
        <v>134</v>
      </c>
      <c r="AH339" s="1">
        <v>36</v>
      </c>
      <c r="AI339" s="1" t="s">
        <v>118</v>
      </c>
    </row>
    <row r="340" spans="1:35" ht="12.5" hidden="1" x14ac:dyDescent="0.25">
      <c r="A340" s="1">
        <v>336</v>
      </c>
      <c r="B340" s="1" t="s">
        <v>1026</v>
      </c>
      <c r="C340" s="1" t="s">
        <v>1027</v>
      </c>
      <c r="D340" s="1" t="s">
        <v>1019</v>
      </c>
      <c r="E340" s="1" t="s">
        <v>62</v>
      </c>
      <c r="F340" s="1" t="s">
        <v>74</v>
      </c>
      <c r="G340" s="1" t="s">
        <v>40</v>
      </c>
      <c r="H340" s="1" t="s">
        <v>88</v>
      </c>
      <c r="I340" s="1" t="s">
        <v>53</v>
      </c>
      <c r="J340" s="1">
        <v>5.9</v>
      </c>
      <c r="K340" s="1" t="s">
        <v>1028</v>
      </c>
      <c r="L340" s="1" t="s">
        <v>141</v>
      </c>
      <c r="M340" s="1" t="s">
        <v>45</v>
      </c>
      <c r="N340" s="1" t="s">
        <v>92</v>
      </c>
      <c r="O340" s="2">
        <v>45724</v>
      </c>
      <c r="P340" s="2">
        <v>45727</v>
      </c>
      <c r="Q340" s="1" t="b">
        <v>1</v>
      </c>
      <c r="R340" s="1">
        <v>10</v>
      </c>
      <c r="S340" s="1" t="b">
        <v>1</v>
      </c>
      <c r="T340" s="2">
        <v>45735</v>
      </c>
      <c r="U340" s="1" t="b">
        <v>1</v>
      </c>
      <c r="V340" s="2">
        <v>45748</v>
      </c>
      <c r="W340" s="1" t="b">
        <v>0</v>
      </c>
      <c r="Y340" s="1">
        <v>58</v>
      </c>
      <c r="Z340" s="1">
        <v>78</v>
      </c>
      <c r="AA340" s="1">
        <v>62</v>
      </c>
      <c r="AB340" s="1" t="b">
        <v>0</v>
      </c>
      <c r="AD340" s="1" t="b">
        <v>0</v>
      </c>
      <c r="AF340" s="1" t="s">
        <v>105</v>
      </c>
      <c r="AH340" s="1">
        <v>24</v>
      </c>
      <c r="AI340" s="1" t="s">
        <v>165</v>
      </c>
    </row>
    <row r="341" spans="1:35" ht="12.5" hidden="1" x14ac:dyDescent="0.25">
      <c r="A341" s="1">
        <v>337</v>
      </c>
      <c r="B341" s="1" t="s">
        <v>1029</v>
      </c>
      <c r="C341" s="1" t="s">
        <v>1030</v>
      </c>
      <c r="D341" s="1" t="s">
        <v>160</v>
      </c>
      <c r="E341" s="1" t="s">
        <v>62</v>
      </c>
      <c r="F341" s="1" t="s">
        <v>111</v>
      </c>
      <c r="G341" s="1" t="s">
        <v>40</v>
      </c>
      <c r="H341" s="1" t="s">
        <v>41</v>
      </c>
      <c r="I341" s="1" t="s">
        <v>103</v>
      </c>
      <c r="J341" s="1">
        <v>11.2</v>
      </c>
      <c r="K341" s="1" t="s">
        <v>161</v>
      </c>
      <c r="L341" s="1" t="s">
        <v>114</v>
      </c>
      <c r="M341" s="1" t="s">
        <v>56</v>
      </c>
      <c r="N341" s="1" t="s">
        <v>84</v>
      </c>
      <c r="O341" s="2">
        <v>45663</v>
      </c>
      <c r="P341" s="2">
        <v>45663</v>
      </c>
      <c r="Q341" s="1" t="b">
        <v>1</v>
      </c>
      <c r="R341" s="1">
        <v>4</v>
      </c>
      <c r="S341" s="1" t="b">
        <v>1</v>
      </c>
      <c r="T341" s="2">
        <v>45666</v>
      </c>
      <c r="U341" s="1" t="b">
        <v>1</v>
      </c>
      <c r="V341" s="2">
        <v>45677</v>
      </c>
      <c r="W341" s="1" t="b">
        <v>1</v>
      </c>
      <c r="X341" s="2">
        <v>45679</v>
      </c>
      <c r="Y341" s="1">
        <v>72</v>
      </c>
      <c r="Z341" s="1">
        <v>72</v>
      </c>
      <c r="AA341" s="1">
        <v>78</v>
      </c>
      <c r="AB341" s="1" t="b">
        <v>1</v>
      </c>
      <c r="AC341" s="2">
        <v>45685</v>
      </c>
      <c r="AD341" s="1" t="b">
        <v>0</v>
      </c>
      <c r="AF341" s="1" t="s">
        <v>316</v>
      </c>
      <c r="AH341" s="1">
        <v>22</v>
      </c>
      <c r="AI341" s="1" t="s">
        <v>58</v>
      </c>
    </row>
    <row r="342" spans="1:35" ht="12.5" hidden="1" x14ac:dyDescent="0.25">
      <c r="A342" s="1">
        <v>338</v>
      </c>
      <c r="B342" s="1" t="s">
        <v>1031</v>
      </c>
      <c r="C342" s="1" t="s">
        <v>1032</v>
      </c>
      <c r="D342" s="1" t="s">
        <v>371</v>
      </c>
      <c r="E342" s="1" t="s">
        <v>38</v>
      </c>
      <c r="F342" s="1" t="s">
        <v>39</v>
      </c>
      <c r="G342" s="1" t="s">
        <v>112</v>
      </c>
      <c r="H342" s="1" t="s">
        <v>65</v>
      </c>
      <c r="I342" s="1" t="s">
        <v>42</v>
      </c>
      <c r="J342" s="1">
        <v>10.9</v>
      </c>
      <c r="K342" s="1" t="s">
        <v>1033</v>
      </c>
      <c r="L342" s="1" t="s">
        <v>67</v>
      </c>
      <c r="M342" s="1" t="s">
        <v>45</v>
      </c>
      <c r="N342" s="1" t="s">
        <v>84</v>
      </c>
      <c r="O342" s="2">
        <v>45709</v>
      </c>
      <c r="P342" s="2">
        <v>45712</v>
      </c>
      <c r="Q342" s="1" t="b">
        <v>1</v>
      </c>
      <c r="R342" s="1">
        <v>10</v>
      </c>
      <c r="S342" s="1" t="b">
        <v>0</v>
      </c>
      <c r="U342" s="1" t="b">
        <v>0</v>
      </c>
      <c r="W342" s="1" t="b">
        <v>0</v>
      </c>
      <c r="Y342" s="1">
        <v>68</v>
      </c>
      <c r="Z342" s="1">
        <v>65</v>
      </c>
      <c r="AA342" s="1">
        <v>76</v>
      </c>
      <c r="AB342" s="1" t="b">
        <v>0</v>
      </c>
      <c r="AD342" s="1" t="b">
        <v>0</v>
      </c>
      <c r="AF342" s="1" t="s">
        <v>57</v>
      </c>
      <c r="AH342" s="1">
        <v>3</v>
      </c>
      <c r="AI342" s="1" t="s">
        <v>215</v>
      </c>
    </row>
    <row r="343" spans="1:35" ht="12.5" hidden="1" x14ac:dyDescent="0.25">
      <c r="A343" s="1">
        <v>339</v>
      </c>
      <c r="B343" s="1" t="s">
        <v>1034</v>
      </c>
      <c r="C343" s="1" t="s">
        <v>1035</v>
      </c>
      <c r="D343" s="1" t="s">
        <v>329</v>
      </c>
      <c r="E343" s="1" t="s">
        <v>62</v>
      </c>
      <c r="F343" s="1" t="s">
        <v>39</v>
      </c>
      <c r="G343" s="1" t="s">
        <v>112</v>
      </c>
      <c r="H343" s="1" t="s">
        <v>41</v>
      </c>
      <c r="I343" s="1" t="s">
        <v>42</v>
      </c>
      <c r="J343" s="1">
        <v>9.3000000000000007</v>
      </c>
      <c r="K343" s="1" t="s">
        <v>319</v>
      </c>
      <c r="L343" s="1" t="s">
        <v>44</v>
      </c>
      <c r="M343" s="1" t="s">
        <v>68</v>
      </c>
      <c r="N343" s="1" t="s">
        <v>116</v>
      </c>
      <c r="O343" s="2">
        <v>45749</v>
      </c>
      <c r="P343" s="2">
        <v>45749</v>
      </c>
      <c r="Q343" s="1" t="b">
        <v>1</v>
      </c>
      <c r="R343" s="1">
        <v>9</v>
      </c>
      <c r="S343" s="1" t="b">
        <v>0</v>
      </c>
      <c r="U343" s="1" t="b">
        <v>0</v>
      </c>
      <c r="W343" s="1" t="b">
        <v>0</v>
      </c>
      <c r="Y343" s="1">
        <v>88</v>
      </c>
      <c r="Z343" s="1">
        <v>70</v>
      </c>
      <c r="AA343" s="1">
        <v>79</v>
      </c>
      <c r="AB343" s="1" t="b">
        <v>0</v>
      </c>
      <c r="AD343" s="1" t="b">
        <v>0</v>
      </c>
      <c r="AF343" s="1" t="s">
        <v>57</v>
      </c>
      <c r="AH343" s="1">
        <v>0</v>
      </c>
      <c r="AI343" s="1" t="s">
        <v>93</v>
      </c>
    </row>
    <row r="344" spans="1:35" ht="12.5" hidden="1" x14ac:dyDescent="0.25">
      <c r="A344" s="1">
        <v>340</v>
      </c>
      <c r="B344" s="1" t="s">
        <v>1036</v>
      </c>
      <c r="C344" s="1" t="s">
        <v>1037</v>
      </c>
      <c r="D344" s="1" t="s">
        <v>405</v>
      </c>
      <c r="E344" s="1" t="s">
        <v>52</v>
      </c>
      <c r="F344" s="1" t="s">
        <v>39</v>
      </c>
      <c r="G344" s="1" t="s">
        <v>112</v>
      </c>
      <c r="H344" s="1" t="s">
        <v>88</v>
      </c>
      <c r="I344" s="1" t="s">
        <v>53</v>
      </c>
      <c r="J344" s="1">
        <v>3.9</v>
      </c>
      <c r="K344" s="1" t="s">
        <v>210</v>
      </c>
      <c r="L344" s="1" t="s">
        <v>90</v>
      </c>
      <c r="M344" s="1" t="s">
        <v>129</v>
      </c>
      <c r="N344" s="1" t="s">
        <v>46</v>
      </c>
      <c r="O344" s="2">
        <v>45684</v>
      </c>
      <c r="P344" s="2">
        <v>45692</v>
      </c>
      <c r="Q344" s="1" t="b">
        <v>1</v>
      </c>
      <c r="R344" s="1">
        <v>3</v>
      </c>
      <c r="S344" s="1" t="b">
        <v>1</v>
      </c>
      <c r="T344" s="2">
        <v>45694</v>
      </c>
      <c r="U344" s="1" t="b">
        <v>1</v>
      </c>
      <c r="V344" s="2">
        <v>45701</v>
      </c>
      <c r="W344" s="1" t="b">
        <v>0</v>
      </c>
      <c r="Y344" s="1">
        <v>54</v>
      </c>
      <c r="Z344" s="1">
        <v>63</v>
      </c>
      <c r="AA344" s="1">
        <v>48</v>
      </c>
      <c r="AB344" s="1" t="b">
        <v>0</v>
      </c>
      <c r="AD344" s="1" t="b">
        <v>0</v>
      </c>
      <c r="AF344" s="1" t="s">
        <v>105</v>
      </c>
      <c r="AG344" s="1" t="s">
        <v>287</v>
      </c>
      <c r="AH344" s="1">
        <v>17</v>
      </c>
      <c r="AI344" s="1" t="s">
        <v>135</v>
      </c>
    </row>
    <row r="345" spans="1:35" ht="12.5" hidden="1" x14ac:dyDescent="0.25">
      <c r="A345" s="1">
        <v>341</v>
      </c>
      <c r="B345" s="1" t="s">
        <v>1038</v>
      </c>
      <c r="C345" s="1" t="s">
        <v>1039</v>
      </c>
      <c r="D345" s="1" t="s">
        <v>205</v>
      </c>
      <c r="E345" s="1" t="s">
        <v>52</v>
      </c>
      <c r="F345" s="1" t="s">
        <v>63</v>
      </c>
      <c r="G345" s="1" t="s">
        <v>40</v>
      </c>
      <c r="H345" s="1" t="s">
        <v>65</v>
      </c>
      <c r="I345" s="1" t="s">
        <v>53</v>
      </c>
      <c r="J345" s="1">
        <v>5.0999999999999996</v>
      </c>
      <c r="K345" s="1" t="s">
        <v>791</v>
      </c>
      <c r="L345" s="1" t="s">
        <v>141</v>
      </c>
      <c r="M345" s="1" t="s">
        <v>45</v>
      </c>
      <c r="N345" s="1" t="s">
        <v>84</v>
      </c>
      <c r="O345" s="2">
        <v>45739</v>
      </c>
      <c r="P345" s="2">
        <v>45744</v>
      </c>
      <c r="Q345" s="1" t="b">
        <v>1</v>
      </c>
      <c r="R345" s="1">
        <v>3</v>
      </c>
      <c r="S345" s="1" t="b">
        <v>1</v>
      </c>
      <c r="T345" s="2">
        <v>45747</v>
      </c>
      <c r="U345" s="1" t="b">
        <v>1</v>
      </c>
      <c r="V345" s="2">
        <v>45749</v>
      </c>
      <c r="W345" s="1" t="b">
        <v>1</v>
      </c>
      <c r="X345" s="2">
        <v>45750</v>
      </c>
      <c r="Y345" s="1">
        <v>60</v>
      </c>
      <c r="Z345" s="1">
        <v>91</v>
      </c>
      <c r="AA345" s="1">
        <v>82</v>
      </c>
      <c r="AB345" s="1" t="b">
        <v>0</v>
      </c>
      <c r="AD345" s="1" t="b">
        <v>0</v>
      </c>
      <c r="AF345" s="1" t="s">
        <v>47</v>
      </c>
      <c r="AH345" s="1">
        <v>11</v>
      </c>
      <c r="AI345" s="1" t="s">
        <v>78</v>
      </c>
    </row>
    <row r="346" spans="1:35" ht="12.5" x14ac:dyDescent="0.25">
      <c r="A346" s="1">
        <v>342</v>
      </c>
      <c r="B346" s="1" t="s">
        <v>1040</v>
      </c>
      <c r="C346" s="1" t="s">
        <v>1041</v>
      </c>
      <c r="D346" s="1" t="s">
        <v>127</v>
      </c>
      <c r="E346" s="1" t="s">
        <v>62</v>
      </c>
      <c r="F346" s="1" t="s">
        <v>111</v>
      </c>
      <c r="G346" s="1" t="s">
        <v>40</v>
      </c>
      <c r="H346" s="1" t="s">
        <v>65</v>
      </c>
      <c r="I346" s="1" t="s">
        <v>42</v>
      </c>
      <c r="J346" s="1">
        <v>10.1</v>
      </c>
      <c r="K346" s="1" t="s">
        <v>394</v>
      </c>
      <c r="L346" s="1" t="s">
        <v>90</v>
      </c>
      <c r="M346" s="1" t="s">
        <v>123</v>
      </c>
      <c r="N346" s="1" t="s">
        <v>116</v>
      </c>
      <c r="O346" s="2">
        <v>45679</v>
      </c>
      <c r="P346" s="2">
        <v>45685</v>
      </c>
      <c r="Q346" s="1" t="b">
        <v>0</v>
      </c>
      <c r="S346" s="1" t="b">
        <v>0</v>
      </c>
      <c r="U346" s="1" t="b">
        <v>0</v>
      </c>
      <c r="W346" s="1" t="b">
        <v>0</v>
      </c>
      <c r="Y346" s="1">
        <v>76</v>
      </c>
      <c r="Z346" s="1">
        <v>78</v>
      </c>
      <c r="AA346" s="1">
        <v>80</v>
      </c>
      <c r="AB346" s="1" t="b">
        <v>0</v>
      </c>
      <c r="AD346" s="1" t="b">
        <v>0</v>
      </c>
      <c r="AF346" s="1" t="s">
        <v>77</v>
      </c>
      <c r="AG346" s="1" t="s">
        <v>69</v>
      </c>
      <c r="AH346" s="1">
        <v>6</v>
      </c>
      <c r="AI346" s="1" t="s">
        <v>118</v>
      </c>
    </row>
    <row r="347" spans="1:35" ht="12.5" x14ac:dyDescent="0.25">
      <c r="A347" s="1">
        <v>343</v>
      </c>
      <c r="B347" s="1" t="s">
        <v>1042</v>
      </c>
      <c r="C347" s="1" t="s">
        <v>1043</v>
      </c>
      <c r="D347" s="1" t="s">
        <v>681</v>
      </c>
      <c r="E347" s="1" t="s">
        <v>52</v>
      </c>
      <c r="F347" s="1" t="s">
        <v>39</v>
      </c>
      <c r="G347" s="1" t="s">
        <v>139</v>
      </c>
      <c r="H347" s="1" t="s">
        <v>88</v>
      </c>
      <c r="I347" s="1" t="s">
        <v>53</v>
      </c>
      <c r="J347" s="1">
        <v>6.2</v>
      </c>
      <c r="K347" s="1" t="s">
        <v>437</v>
      </c>
      <c r="L347" s="1" t="s">
        <v>114</v>
      </c>
      <c r="M347" s="1" t="s">
        <v>115</v>
      </c>
      <c r="N347" s="1" t="s">
        <v>46</v>
      </c>
      <c r="O347" s="2">
        <v>45684</v>
      </c>
      <c r="P347" s="2">
        <v>45684</v>
      </c>
      <c r="Q347" s="1" t="b">
        <v>0</v>
      </c>
      <c r="S347" s="1" t="b">
        <v>0</v>
      </c>
      <c r="U347" s="1" t="b">
        <v>0</v>
      </c>
      <c r="W347" s="1" t="b">
        <v>0</v>
      </c>
      <c r="Y347" s="1">
        <v>100</v>
      </c>
      <c r="Z347" s="1">
        <v>77</v>
      </c>
      <c r="AA347" s="1">
        <v>80</v>
      </c>
      <c r="AB347" s="1" t="b">
        <v>0</v>
      </c>
      <c r="AD347" s="1" t="b">
        <v>0</v>
      </c>
      <c r="AF347" s="1" t="s">
        <v>77</v>
      </c>
      <c r="AG347" s="1" t="s">
        <v>69</v>
      </c>
      <c r="AH347" s="1">
        <v>0</v>
      </c>
      <c r="AI347" s="1" t="s">
        <v>135</v>
      </c>
    </row>
    <row r="348" spans="1:35" ht="12.5" hidden="1" x14ac:dyDescent="0.25">
      <c r="A348" s="1">
        <v>344</v>
      </c>
      <c r="B348" s="1" t="s">
        <v>1044</v>
      </c>
      <c r="C348" s="1" t="s">
        <v>1045</v>
      </c>
      <c r="D348" s="1" t="s">
        <v>237</v>
      </c>
      <c r="E348" s="1" t="s">
        <v>38</v>
      </c>
      <c r="F348" s="1" t="s">
        <v>63</v>
      </c>
      <c r="G348" s="1" t="s">
        <v>139</v>
      </c>
      <c r="H348" s="1" t="s">
        <v>88</v>
      </c>
      <c r="I348" s="1" t="s">
        <v>42</v>
      </c>
      <c r="J348" s="1">
        <v>8.5</v>
      </c>
      <c r="K348" s="1" t="s">
        <v>1046</v>
      </c>
      <c r="L348" s="1" t="s">
        <v>67</v>
      </c>
      <c r="M348" s="1" t="s">
        <v>123</v>
      </c>
      <c r="N348" s="1" t="s">
        <v>92</v>
      </c>
      <c r="O348" s="2">
        <v>45720</v>
      </c>
      <c r="P348" s="2">
        <v>45720</v>
      </c>
      <c r="Q348" s="1" t="b">
        <v>1</v>
      </c>
      <c r="R348" s="1">
        <v>0</v>
      </c>
      <c r="S348" s="1" t="b">
        <v>1</v>
      </c>
      <c r="T348" s="2">
        <v>45724</v>
      </c>
      <c r="U348" s="1" t="b">
        <v>0</v>
      </c>
      <c r="W348" s="1" t="b">
        <v>0</v>
      </c>
      <c r="Y348" s="1">
        <v>47</v>
      </c>
      <c r="Z348" s="1">
        <v>100</v>
      </c>
      <c r="AA348" s="1">
        <v>88</v>
      </c>
      <c r="AB348" s="1" t="b">
        <v>0</v>
      </c>
      <c r="AD348" s="1" t="b">
        <v>0</v>
      </c>
      <c r="AF348" s="1" t="s">
        <v>151</v>
      </c>
      <c r="AG348" s="1" t="s">
        <v>124</v>
      </c>
      <c r="AH348" s="1">
        <v>4</v>
      </c>
      <c r="AI348" s="1" t="s">
        <v>58</v>
      </c>
    </row>
    <row r="349" spans="1:35" ht="12.5" hidden="1" x14ac:dyDescent="0.25">
      <c r="A349" s="1">
        <v>345</v>
      </c>
      <c r="B349" s="1" t="s">
        <v>1047</v>
      </c>
      <c r="C349" s="1" t="s">
        <v>1048</v>
      </c>
      <c r="D349" s="1" t="s">
        <v>271</v>
      </c>
      <c r="E349" s="1" t="s">
        <v>102</v>
      </c>
      <c r="F349" s="1" t="s">
        <v>39</v>
      </c>
      <c r="G349" s="1" t="s">
        <v>75</v>
      </c>
      <c r="H349" s="1" t="s">
        <v>41</v>
      </c>
      <c r="I349" s="1" t="s">
        <v>53</v>
      </c>
      <c r="J349" s="1">
        <v>4.8</v>
      </c>
      <c r="K349" s="1" t="s">
        <v>412</v>
      </c>
      <c r="L349" s="1" t="s">
        <v>67</v>
      </c>
      <c r="M349" s="1" t="s">
        <v>45</v>
      </c>
      <c r="N349" s="1" t="s">
        <v>92</v>
      </c>
      <c r="O349" s="2">
        <v>45705</v>
      </c>
      <c r="P349" s="2">
        <v>45711</v>
      </c>
      <c r="Q349" s="1" t="b">
        <v>1</v>
      </c>
      <c r="R349" s="1">
        <v>4</v>
      </c>
      <c r="S349" s="1" t="b">
        <v>0</v>
      </c>
      <c r="U349" s="1" t="b">
        <v>0</v>
      </c>
      <c r="W349" s="1" t="b">
        <v>0</v>
      </c>
      <c r="Y349" s="1">
        <v>61</v>
      </c>
      <c r="Z349" s="1">
        <v>95</v>
      </c>
      <c r="AA349" s="1">
        <v>90</v>
      </c>
      <c r="AB349" s="1" t="b">
        <v>0</v>
      </c>
      <c r="AD349" s="1" t="b">
        <v>0</v>
      </c>
      <c r="AF349" s="1" t="s">
        <v>57</v>
      </c>
      <c r="AG349" s="1" t="s">
        <v>152</v>
      </c>
      <c r="AH349" s="1">
        <v>6</v>
      </c>
      <c r="AI349" s="1" t="s">
        <v>93</v>
      </c>
    </row>
    <row r="350" spans="1:35" ht="12.5" x14ac:dyDescent="0.25">
      <c r="A350" s="1">
        <v>346</v>
      </c>
      <c r="B350" s="1" t="s">
        <v>1049</v>
      </c>
      <c r="C350" s="1" t="s">
        <v>1050</v>
      </c>
      <c r="D350" s="1" t="s">
        <v>138</v>
      </c>
      <c r="E350" s="1" t="s">
        <v>52</v>
      </c>
      <c r="F350" s="1" t="s">
        <v>74</v>
      </c>
      <c r="G350" s="1" t="s">
        <v>75</v>
      </c>
      <c r="H350" s="1" t="s">
        <v>65</v>
      </c>
      <c r="I350" s="1" t="s">
        <v>42</v>
      </c>
      <c r="J350" s="1">
        <v>6.2</v>
      </c>
      <c r="K350" s="1" t="s">
        <v>788</v>
      </c>
      <c r="L350" s="1" t="s">
        <v>44</v>
      </c>
      <c r="M350" s="1" t="s">
        <v>91</v>
      </c>
      <c r="N350" s="1" t="s">
        <v>92</v>
      </c>
      <c r="O350" s="2">
        <v>45758</v>
      </c>
      <c r="P350" s="2">
        <v>45759</v>
      </c>
      <c r="Q350" s="1" t="b">
        <v>0</v>
      </c>
      <c r="S350" s="1" t="b">
        <v>0</v>
      </c>
      <c r="U350" s="1" t="b">
        <v>0</v>
      </c>
      <c r="W350" s="1" t="b">
        <v>0</v>
      </c>
      <c r="Y350" s="1">
        <v>84</v>
      </c>
      <c r="Z350" s="1">
        <v>87</v>
      </c>
      <c r="AA350" s="1">
        <v>89</v>
      </c>
      <c r="AB350" s="1" t="b">
        <v>0</v>
      </c>
      <c r="AD350" s="1" t="b">
        <v>0</v>
      </c>
      <c r="AF350" s="1" t="s">
        <v>77</v>
      </c>
      <c r="AG350" s="1" t="s">
        <v>69</v>
      </c>
      <c r="AH350" s="1">
        <v>1</v>
      </c>
      <c r="AI350" s="1" t="s">
        <v>93</v>
      </c>
    </row>
    <row r="351" spans="1:35" ht="12.5" x14ac:dyDescent="0.25">
      <c r="A351" s="1">
        <v>347</v>
      </c>
      <c r="B351" s="1" t="s">
        <v>1051</v>
      </c>
      <c r="C351" s="1" t="s">
        <v>1052</v>
      </c>
      <c r="D351" s="1" t="s">
        <v>164</v>
      </c>
      <c r="E351" s="1" t="s">
        <v>52</v>
      </c>
      <c r="F351" s="1" t="s">
        <v>63</v>
      </c>
      <c r="G351" s="1" t="s">
        <v>40</v>
      </c>
      <c r="H351" s="1" t="s">
        <v>88</v>
      </c>
      <c r="I351" s="1" t="s">
        <v>82</v>
      </c>
      <c r="J351" s="1">
        <v>0.2</v>
      </c>
      <c r="K351" s="1" t="s">
        <v>76</v>
      </c>
      <c r="L351" s="1" t="s">
        <v>67</v>
      </c>
      <c r="M351" s="1" t="s">
        <v>91</v>
      </c>
      <c r="N351" s="1" t="s">
        <v>46</v>
      </c>
      <c r="O351" s="2">
        <v>45719</v>
      </c>
      <c r="P351" s="2">
        <v>45720</v>
      </c>
      <c r="Q351" s="1" t="b">
        <v>0</v>
      </c>
      <c r="S351" s="1" t="b">
        <v>0</v>
      </c>
      <c r="U351" s="1" t="b">
        <v>0</v>
      </c>
      <c r="W351" s="1" t="b">
        <v>0</v>
      </c>
      <c r="Y351" s="1">
        <v>87</v>
      </c>
      <c r="Z351" s="1">
        <v>87</v>
      </c>
      <c r="AA351" s="1">
        <v>82</v>
      </c>
      <c r="AB351" s="1" t="b">
        <v>0</v>
      </c>
      <c r="AD351" s="1" t="b">
        <v>0</v>
      </c>
      <c r="AF351" s="1" t="s">
        <v>77</v>
      </c>
      <c r="AG351" s="1" t="s">
        <v>69</v>
      </c>
      <c r="AH351" s="1">
        <v>1</v>
      </c>
      <c r="AI351" s="1" t="s">
        <v>58</v>
      </c>
    </row>
    <row r="352" spans="1:35" ht="12.5" x14ac:dyDescent="0.25">
      <c r="A352" s="1">
        <v>348</v>
      </c>
      <c r="B352" s="1" t="s">
        <v>1053</v>
      </c>
      <c r="C352" s="1" t="s">
        <v>1054</v>
      </c>
      <c r="D352" s="1" t="s">
        <v>164</v>
      </c>
      <c r="E352" s="1" t="s">
        <v>38</v>
      </c>
      <c r="F352" s="1" t="s">
        <v>63</v>
      </c>
      <c r="G352" s="1" t="s">
        <v>75</v>
      </c>
      <c r="H352" s="1" t="s">
        <v>65</v>
      </c>
      <c r="I352" s="1" t="s">
        <v>53</v>
      </c>
      <c r="J352" s="1">
        <v>3.7</v>
      </c>
      <c r="K352" s="1" t="s">
        <v>443</v>
      </c>
      <c r="L352" s="1" t="s">
        <v>90</v>
      </c>
      <c r="M352" s="1" t="s">
        <v>123</v>
      </c>
      <c r="N352" s="1" t="s">
        <v>46</v>
      </c>
      <c r="O352" s="2">
        <v>45669</v>
      </c>
      <c r="P352" s="2">
        <v>45671</v>
      </c>
      <c r="Q352" s="1" t="b">
        <v>0</v>
      </c>
      <c r="S352" s="1" t="b">
        <v>0</v>
      </c>
      <c r="U352" s="1" t="b">
        <v>0</v>
      </c>
      <c r="W352" s="1" t="b">
        <v>0</v>
      </c>
      <c r="Y352" s="1">
        <v>69</v>
      </c>
      <c r="Z352" s="1">
        <v>63</v>
      </c>
      <c r="AA352" s="1">
        <v>75</v>
      </c>
      <c r="AB352" s="1" t="b">
        <v>0</v>
      </c>
      <c r="AD352" s="1" t="b">
        <v>0</v>
      </c>
      <c r="AF352" s="1" t="s">
        <v>77</v>
      </c>
      <c r="AG352" s="1" t="s">
        <v>69</v>
      </c>
      <c r="AH352" s="1">
        <v>2</v>
      </c>
      <c r="AI352" s="1" t="s">
        <v>78</v>
      </c>
    </row>
    <row r="353" spans="1:35" ht="12.5" hidden="1" x14ac:dyDescent="0.25">
      <c r="A353" s="1">
        <v>349</v>
      </c>
      <c r="B353" s="1" t="s">
        <v>1055</v>
      </c>
      <c r="C353" s="1" t="s">
        <v>1056</v>
      </c>
      <c r="D353" s="1" t="s">
        <v>326</v>
      </c>
      <c r="E353" s="1" t="s">
        <v>38</v>
      </c>
      <c r="F353" s="1" t="s">
        <v>111</v>
      </c>
      <c r="G353" s="1" t="s">
        <v>40</v>
      </c>
      <c r="H353" s="1" t="s">
        <v>41</v>
      </c>
      <c r="I353" s="1" t="s">
        <v>82</v>
      </c>
      <c r="J353" s="1">
        <v>1.4</v>
      </c>
      <c r="K353" s="1" t="s">
        <v>791</v>
      </c>
      <c r="L353" s="1" t="s">
        <v>67</v>
      </c>
      <c r="M353" s="1" t="s">
        <v>146</v>
      </c>
      <c r="N353" s="1" t="s">
        <v>92</v>
      </c>
      <c r="O353" s="2">
        <v>45780</v>
      </c>
      <c r="P353" s="2">
        <v>45783</v>
      </c>
      <c r="Q353" s="1" t="b">
        <v>1</v>
      </c>
      <c r="R353" s="1">
        <v>7</v>
      </c>
      <c r="S353" s="1" t="b">
        <v>1</v>
      </c>
      <c r="T353" s="2">
        <v>45791</v>
      </c>
      <c r="U353" s="1" t="b">
        <v>1</v>
      </c>
      <c r="V353" s="2">
        <v>45805</v>
      </c>
      <c r="W353" s="1" t="b">
        <v>1</v>
      </c>
      <c r="X353" s="2">
        <v>45809</v>
      </c>
      <c r="Y353" s="1">
        <v>78</v>
      </c>
      <c r="Z353" s="1">
        <v>78</v>
      </c>
      <c r="AA353" s="1">
        <v>74</v>
      </c>
      <c r="AB353" s="1" t="b">
        <v>1</v>
      </c>
      <c r="AC353" s="2">
        <v>45810</v>
      </c>
      <c r="AD353" s="1" t="b">
        <v>1</v>
      </c>
      <c r="AE353" s="2">
        <v>45821</v>
      </c>
      <c r="AF353" s="1" t="s">
        <v>134</v>
      </c>
      <c r="AH353" s="1">
        <v>41</v>
      </c>
      <c r="AI353" s="1" t="s">
        <v>70</v>
      </c>
    </row>
    <row r="354" spans="1:35" ht="12.5" hidden="1" x14ac:dyDescent="0.25">
      <c r="A354" s="1">
        <v>350</v>
      </c>
      <c r="B354" s="1" t="s">
        <v>1057</v>
      </c>
      <c r="C354" s="1" t="s">
        <v>1058</v>
      </c>
      <c r="D354" s="1" t="s">
        <v>51</v>
      </c>
      <c r="E354" s="1" t="s">
        <v>38</v>
      </c>
      <c r="F354" s="1" t="s">
        <v>74</v>
      </c>
      <c r="G354" s="1" t="s">
        <v>40</v>
      </c>
      <c r="H354" s="1" t="s">
        <v>41</v>
      </c>
      <c r="I354" s="1" t="s">
        <v>42</v>
      </c>
      <c r="J354" s="1">
        <v>8.4</v>
      </c>
      <c r="K354" s="1" t="s">
        <v>584</v>
      </c>
      <c r="L354" s="1" t="s">
        <v>114</v>
      </c>
      <c r="M354" s="1" t="s">
        <v>56</v>
      </c>
      <c r="N354" s="1" t="s">
        <v>116</v>
      </c>
      <c r="O354" s="2">
        <v>45671</v>
      </c>
      <c r="P354" s="2">
        <v>45671</v>
      </c>
      <c r="Q354" s="1" t="b">
        <v>1</v>
      </c>
      <c r="R354" s="1">
        <v>6</v>
      </c>
      <c r="S354" s="1" t="b">
        <v>0</v>
      </c>
      <c r="U354" s="1" t="b">
        <v>0</v>
      </c>
      <c r="W354" s="1" t="b">
        <v>0</v>
      </c>
      <c r="Y354" s="1">
        <v>82</v>
      </c>
      <c r="Z354" s="1">
        <v>71</v>
      </c>
      <c r="AA354" s="1">
        <v>73</v>
      </c>
      <c r="AB354" s="1" t="b">
        <v>0</v>
      </c>
      <c r="AD354" s="1" t="b">
        <v>0</v>
      </c>
      <c r="AF354" s="1" t="s">
        <v>57</v>
      </c>
      <c r="AH354" s="1">
        <v>0</v>
      </c>
      <c r="AI354" s="1" t="s">
        <v>118</v>
      </c>
    </row>
    <row r="355" spans="1:35" ht="12.5" hidden="1" x14ac:dyDescent="0.25">
      <c r="A355" s="1">
        <v>351</v>
      </c>
      <c r="B355" s="1" t="s">
        <v>1059</v>
      </c>
      <c r="C355" s="1" t="s">
        <v>1060</v>
      </c>
      <c r="D355" s="1" t="s">
        <v>37</v>
      </c>
      <c r="E355" s="1" t="s">
        <v>102</v>
      </c>
      <c r="F355" s="1" t="s">
        <v>39</v>
      </c>
      <c r="G355" s="1" t="s">
        <v>139</v>
      </c>
      <c r="H355" s="1" t="s">
        <v>88</v>
      </c>
      <c r="I355" s="1" t="s">
        <v>53</v>
      </c>
      <c r="J355" s="1">
        <v>4</v>
      </c>
      <c r="K355" s="1" t="s">
        <v>286</v>
      </c>
      <c r="L355" s="1" t="s">
        <v>67</v>
      </c>
      <c r="M355" s="1" t="s">
        <v>56</v>
      </c>
      <c r="N355" s="1" t="s">
        <v>116</v>
      </c>
      <c r="O355" s="2">
        <v>45781</v>
      </c>
      <c r="P355" s="2">
        <v>45784</v>
      </c>
      <c r="Q355" s="1" t="b">
        <v>1</v>
      </c>
      <c r="R355" s="1">
        <v>7</v>
      </c>
      <c r="S355" s="1" t="b">
        <v>1</v>
      </c>
      <c r="T355" s="2">
        <v>45793</v>
      </c>
      <c r="U355" s="1" t="b">
        <v>1</v>
      </c>
      <c r="V355" s="2">
        <v>45806</v>
      </c>
      <c r="W355" s="1" t="b">
        <v>1</v>
      </c>
      <c r="X355" s="2">
        <v>45815</v>
      </c>
      <c r="Y355" s="1">
        <v>67</v>
      </c>
      <c r="Z355" s="1">
        <v>77</v>
      </c>
      <c r="AA355" s="1">
        <v>78</v>
      </c>
      <c r="AB355" s="1" t="b">
        <v>0</v>
      </c>
      <c r="AD355" s="1" t="b">
        <v>0</v>
      </c>
      <c r="AF355" s="1" t="s">
        <v>47</v>
      </c>
      <c r="AH355" s="1">
        <v>34</v>
      </c>
      <c r="AI355" s="1" t="s">
        <v>78</v>
      </c>
    </row>
    <row r="356" spans="1:35" ht="12.5" hidden="1" x14ac:dyDescent="0.25">
      <c r="A356" s="1">
        <v>352</v>
      </c>
      <c r="B356" s="1" t="s">
        <v>1061</v>
      </c>
      <c r="C356" s="1" t="s">
        <v>1062</v>
      </c>
      <c r="D356" s="1" t="s">
        <v>714</v>
      </c>
      <c r="E356" s="1" t="s">
        <v>62</v>
      </c>
      <c r="F356" s="1" t="s">
        <v>111</v>
      </c>
      <c r="G356" s="1" t="s">
        <v>64</v>
      </c>
      <c r="H356" s="1" t="s">
        <v>65</v>
      </c>
      <c r="I356" s="1" t="s">
        <v>53</v>
      </c>
      <c r="J356" s="1">
        <v>3.1</v>
      </c>
      <c r="K356" s="1" t="s">
        <v>574</v>
      </c>
      <c r="L356" s="1" t="s">
        <v>44</v>
      </c>
      <c r="M356" s="1" t="s">
        <v>115</v>
      </c>
      <c r="N356" s="1" t="s">
        <v>84</v>
      </c>
      <c r="O356" s="2">
        <v>45707</v>
      </c>
      <c r="P356" s="2">
        <v>45709</v>
      </c>
      <c r="Q356" s="1" t="b">
        <v>1</v>
      </c>
      <c r="R356" s="1">
        <v>8</v>
      </c>
      <c r="S356" s="1" t="b">
        <v>1</v>
      </c>
      <c r="T356" s="2">
        <v>45718</v>
      </c>
      <c r="U356" s="1" t="b">
        <v>1</v>
      </c>
      <c r="V356" s="2">
        <v>45726</v>
      </c>
      <c r="W356" s="1" t="b">
        <v>1</v>
      </c>
      <c r="X356" s="2">
        <v>45727</v>
      </c>
      <c r="Y356" s="1">
        <v>83</v>
      </c>
      <c r="Z356" s="1">
        <v>88</v>
      </c>
      <c r="AA356" s="1">
        <v>78</v>
      </c>
      <c r="AB356" s="1" t="b">
        <v>1</v>
      </c>
      <c r="AC356" s="2">
        <v>45732</v>
      </c>
      <c r="AD356" s="1" t="b">
        <v>0</v>
      </c>
      <c r="AF356" s="1" t="s">
        <v>316</v>
      </c>
      <c r="AH356" s="1">
        <v>25</v>
      </c>
      <c r="AI356" s="1" t="s">
        <v>157</v>
      </c>
    </row>
    <row r="357" spans="1:35" ht="12.5" hidden="1" x14ac:dyDescent="0.25">
      <c r="A357" s="1">
        <v>353</v>
      </c>
      <c r="B357" s="1" t="s">
        <v>1063</v>
      </c>
      <c r="C357" s="1" t="s">
        <v>1064</v>
      </c>
      <c r="D357" s="1" t="s">
        <v>473</v>
      </c>
      <c r="E357" s="1" t="s">
        <v>102</v>
      </c>
      <c r="F357" s="1" t="s">
        <v>111</v>
      </c>
      <c r="G357" s="1" t="s">
        <v>97</v>
      </c>
      <c r="H357" s="1" t="s">
        <v>65</v>
      </c>
      <c r="I357" s="1" t="s">
        <v>103</v>
      </c>
      <c r="J357" s="1">
        <v>10.3</v>
      </c>
      <c r="K357" s="1" t="s">
        <v>192</v>
      </c>
      <c r="L357" s="1" t="s">
        <v>67</v>
      </c>
      <c r="M357" s="1" t="s">
        <v>146</v>
      </c>
      <c r="N357" s="1" t="s">
        <v>46</v>
      </c>
      <c r="O357" s="2">
        <v>45714</v>
      </c>
      <c r="P357" s="2">
        <v>45714</v>
      </c>
      <c r="Q357" s="1" t="b">
        <v>1</v>
      </c>
      <c r="R357" s="1">
        <v>2</v>
      </c>
      <c r="S357" s="1" t="b">
        <v>0</v>
      </c>
      <c r="U357" s="1" t="b">
        <v>0</v>
      </c>
      <c r="W357" s="1" t="b">
        <v>0</v>
      </c>
      <c r="Y357" s="1">
        <v>79</v>
      </c>
      <c r="Z357" s="1">
        <v>85</v>
      </c>
      <c r="AA357" s="1">
        <v>79</v>
      </c>
      <c r="AB357" s="1" t="b">
        <v>0</v>
      </c>
      <c r="AD357" s="1" t="b">
        <v>0</v>
      </c>
      <c r="AF357" s="1" t="s">
        <v>57</v>
      </c>
      <c r="AG357" s="1" t="s">
        <v>207</v>
      </c>
      <c r="AH357" s="1">
        <v>0</v>
      </c>
      <c r="AI357" s="1" t="s">
        <v>215</v>
      </c>
    </row>
    <row r="358" spans="1:35" ht="12.5" x14ac:dyDescent="0.25">
      <c r="A358" s="1">
        <v>354</v>
      </c>
      <c r="B358" s="1" t="s">
        <v>1065</v>
      </c>
      <c r="C358" s="1" t="s">
        <v>1066</v>
      </c>
      <c r="D358" s="1" t="s">
        <v>253</v>
      </c>
      <c r="E358" s="1" t="s">
        <v>38</v>
      </c>
      <c r="F358" s="1" t="s">
        <v>63</v>
      </c>
      <c r="G358" s="1" t="s">
        <v>97</v>
      </c>
      <c r="H358" s="1" t="s">
        <v>41</v>
      </c>
      <c r="I358" s="1" t="s">
        <v>42</v>
      </c>
      <c r="J358" s="1">
        <v>8.9</v>
      </c>
      <c r="K358" s="1" t="s">
        <v>586</v>
      </c>
      <c r="L358" s="1" t="s">
        <v>114</v>
      </c>
      <c r="M358" s="1" t="s">
        <v>146</v>
      </c>
      <c r="N358" s="1" t="s">
        <v>92</v>
      </c>
      <c r="O358" s="2">
        <v>45744</v>
      </c>
      <c r="P358" s="2">
        <v>45744</v>
      </c>
      <c r="Q358" s="1" t="b">
        <v>1</v>
      </c>
      <c r="R358" s="1">
        <v>12</v>
      </c>
      <c r="S358" s="1" t="b">
        <v>1</v>
      </c>
      <c r="T358" s="2">
        <v>45748</v>
      </c>
      <c r="U358" s="1" t="b">
        <v>0</v>
      </c>
      <c r="W358" s="1" t="b">
        <v>0</v>
      </c>
      <c r="Y358" s="1">
        <v>78</v>
      </c>
      <c r="Z358" s="1">
        <v>76</v>
      </c>
      <c r="AA358" s="1">
        <v>63</v>
      </c>
      <c r="AB358" s="1" t="b">
        <v>0</v>
      </c>
      <c r="AD358" s="1" t="b">
        <v>0</v>
      </c>
      <c r="AF358" s="1" t="s">
        <v>151</v>
      </c>
      <c r="AG358" s="1" t="s">
        <v>69</v>
      </c>
      <c r="AH358" s="1">
        <v>4</v>
      </c>
      <c r="AI358" s="1" t="s">
        <v>135</v>
      </c>
    </row>
    <row r="359" spans="1:35" ht="12.5" hidden="1" x14ac:dyDescent="0.25">
      <c r="A359" s="1">
        <v>355</v>
      </c>
      <c r="B359" s="1" t="s">
        <v>1067</v>
      </c>
      <c r="C359" s="1" t="s">
        <v>1068</v>
      </c>
      <c r="D359" s="1" t="s">
        <v>195</v>
      </c>
      <c r="E359" s="1" t="s">
        <v>38</v>
      </c>
      <c r="F359" s="1" t="s">
        <v>111</v>
      </c>
      <c r="G359" s="1" t="s">
        <v>40</v>
      </c>
      <c r="H359" s="1" t="s">
        <v>41</v>
      </c>
      <c r="I359" s="1" t="s">
        <v>53</v>
      </c>
      <c r="J359" s="1">
        <v>3.8</v>
      </c>
      <c r="K359" s="1" t="s">
        <v>509</v>
      </c>
      <c r="L359" s="1" t="s">
        <v>67</v>
      </c>
      <c r="M359" s="1" t="s">
        <v>115</v>
      </c>
      <c r="N359" s="1" t="s">
        <v>46</v>
      </c>
      <c r="O359" s="2">
        <v>45758</v>
      </c>
      <c r="P359" s="2">
        <v>45763</v>
      </c>
      <c r="Q359" s="1" t="b">
        <v>1</v>
      </c>
      <c r="R359" s="1">
        <v>6</v>
      </c>
      <c r="S359" s="1" t="b">
        <v>1</v>
      </c>
      <c r="T359" s="2">
        <v>45771</v>
      </c>
      <c r="U359" s="1" t="b">
        <v>1</v>
      </c>
      <c r="V359" s="2">
        <v>45783</v>
      </c>
      <c r="W359" s="1" t="b">
        <v>1</v>
      </c>
      <c r="X359" s="2">
        <v>45791</v>
      </c>
      <c r="Y359" s="1">
        <v>70</v>
      </c>
      <c r="Z359" s="1">
        <v>63</v>
      </c>
      <c r="AA359" s="1">
        <v>71</v>
      </c>
      <c r="AB359" s="1" t="b">
        <v>0</v>
      </c>
      <c r="AD359" s="1" t="b">
        <v>0</v>
      </c>
      <c r="AF359" s="1" t="s">
        <v>47</v>
      </c>
      <c r="AH359" s="1">
        <v>33</v>
      </c>
      <c r="AI359" s="1" t="s">
        <v>70</v>
      </c>
    </row>
    <row r="360" spans="1:35" ht="12.5" x14ac:dyDescent="0.25">
      <c r="A360" s="1">
        <v>356</v>
      </c>
      <c r="B360" s="1" t="s">
        <v>1069</v>
      </c>
      <c r="C360" s="1" t="s">
        <v>1070</v>
      </c>
      <c r="D360" s="1" t="s">
        <v>127</v>
      </c>
      <c r="E360" s="1" t="s">
        <v>38</v>
      </c>
      <c r="F360" s="1" t="s">
        <v>63</v>
      </c>
      <c r="G360" s="1" t="s">
        <v>64</v>
      </c>
      <c r="H360" s="1" t="s">
        <v>88</v>
      </c>
      <c r="I360" s="1" t="s">
        <v>53</v>
      </c>
      <c r="J360" s="1">
        <v>4</v>
      </c>
      <c r="K360" s="1" t="s">
        <v>368</v>
      </c>
      <c r="L360" s="1" t="s">
        <v>90</v>
      </c>
      <c r="M360" s="1" t="s">
        <v>123</v>
      </c>
      <c r="N360" s="1" t="s">
        <v>84</v>
      </c>
      <c r="O360" s="2">
        <v>45687</v>
      </c>
      <c r="P360" s="2">
        <v>45688</v>
      </c>
      <c r="Q360" s="1" t="b">
        <v>0</v>
      </c>
      <c r="S360" s="1" t="b">
        <v>0</v>
      </c>
      <c r="U360" s="1" t="b">
        <v>0</v>
      </c>
      <c r="W360" s="1" t="b">
        <v>0</v>
      </c>
      <c r="Y360" s="1">
        <v>75</v>
      </c>
      <c r="Z360" s="1">
        <v>76</v>
      </c>
      <c r="AA360" s="1">
        <v>85</v>
      </c>
      <c r="AB360" s="1" t="b">
        <v>0</v>
      </c>
      <c r="AD360" s="1" t="b">
        <v>0</v>
      </c>
      <c r="AF360" s="1" t="s">
        <v>77</v>
      </c>
      <c r="AG360" s="1" t="s">
        <v>69</v>
      </c>
      <c r="AH360" s="1">
        <v>1</v>
      </c>
      <c r="AI360" s="1" t="s">
        <v>93</v>
      </c>
    </row>
    <row r="361" spans="1:35" ht="12.5" x14ac:dyDescent="0.25">
      <c r="A361" s="1">
        <v>357</v>
      </c>
      <c r="B361" s="1" t="s">
        <v>1071</v>
      </c>
      <c r="C361" s="1" t="s">
        <v>1072</v>
      </c>
      <c r="D361" s="1" t="s">
        <v>171</v>
      </c>
      <c r="E361" s="1" t="s">
        <v>102</v>
      </c>
      <c r="F361" s="1" t="s">
        <v>111</v>
      </c>
      <c r="G361" s="1" t="s">
        <v>97</v>
      </c>
      <c r="H361" s="1" t="s">
        <v>41</v>
      </c>
      <c r="I361" s="1" t="s">
        <v>82</v>
      </c>
      <c r="J361" s="1">
        <v>4</v>
      </c>
      <c r="K361" s="1" t="s">
        <v>824</v>
      </c>
      <c r="L361" s="1" t="s">
        <v>44</v>
      </c>
      <c r="M361" s="1" t="s">
        <v>146</v>
      </c>
      <c r="N361" s="1" t="s">
        <v>116</v>
      </c>
      <c r="O361" s="2">
        <v>45768</v>
      </c>
      <c r="P361" s="2">
        <v>45769</v>
      </c>
      <c r="Q361" s="1" t="b">
        <v>0</v>
      </c>
      <c r="S361" s="1" t="b">
        <v>0</v>
      </c>
      <c r="U361" s="1" t="b">
        <v>0</v>
      </c>
      <c r="W361" s="1" t="b">
        <v>0</v>
      </c>
      <c r="Y361" s="1">
        <v>84</v>
      </c>
      <c r="Z361" s="1">
        <v>78</v>
      </c>
      <c r="AA361" s="1">
        <v>78</v>
      </c>
      <c r="AB361" s="1" t="b">
        <v>0</v>
      </c>
      <c r="AD361" s="1" t="b">
        <v>0</v>
      </c>
      <c r="AF361" s="1" t="s">
        <v>77</v>
      </c>
      <c r="AG361" s="1" t="s">
        <v>69</v>
      </c>
      <c r="AH361" s="1">
        <v>1</v>
      </c>
      <c r="AI361" s="1" t="s">
        <v>165</v>
      </c>
    </row>
    <row r="362" spans="1:35" ht="12.5" hidden="1" x14ac:dyDescent="0.25">
      <c r="A362" s="1">
        <v>358</v>
      </c>
      <c r="B362" s="1" t="s">
        <v>1073</v>
      </c>
      <c r="C362" s="1" t="s">
        <v>1074</v>
      </c>
      <c r="D362" s="1" t="s">
        <v>322</v>
      </c>
      <c r="E362" s="1" t="s">
        <v>102</v>
      </c>
      <c r="F362" s="1" t="s">
        <v>74</v>
      </c>
      <c r="G362" s="1" t="s">
        <v>75</v>
      </c>
      <c r="H362" s="1" t="s">
        <v>41</v>
      </c>
      <c r="I362" s="1" t="s">
        <v>42</v>
      </c>
      <c r="J362" s="1">
        <v>9.4</v>
      </c>
      <c r="K362" s="1" t="s">
        <v>402</v>
      </c>
      <c r="L362" s="1" t="s">
        <v>90</v>
      </c>
      <c r="M362" s="1" t="s">
        <v>129</v>
      </c>
      <c r="N362" s="1" t="s">
        <v>46</v>
      </c>
      <c r="O362" s="2">
        <v>45701</v>
      </c>
      <c r="P362" s="2">
        <v>45704</v>
      </c>
      <c r="Q362" s="1" t="b">
        <v>1</v>
      </c>
      <c r="R362" s="1">
        <v>8</v>
      </c>
      <c r="S362" s="1" t="b">
        <v>0</v>
      </c>
      <c r="U362" s="1" t="b">
        <v>0</v>
      </c>
      <c r="W362" s="1" t="b">
        <v>0</v>
      </c>
      <c r="Y362" s="1">
        <v>59</v>
      </c>
      <c r="Z362" s="1">
        <v>85</v>
      </c>
      <c r="AA362" s="1">
        <v>81</v>
      </c>
      <c r="AB362" s="1" t="b">
        <v>0</v>
      </c>
      <c r="AD362" s="1" t="b">
        <v>0</v>
      </c>
      <c r="AF362" s="1" t="s">
        <v>57</v>
      </c>
      <c r="AG362" s="1" t="s">
        <v>124</v>
      </c>
      <c r="AH362" s="1">
        <v>3</v>
      </c>
      <c r="AI362" s="1" t="s">
        <v>157</v>
      </c>
    </row>
    <row r="363" spans="1:35" ht="12.5" x14ac:dyDescent="0.25">
      <c r="A363" s="1">
        <v>359</v>
      </c>
      <c r="B363" s="1" t="s">
        <v>1075</v>
      </c>
      <c r="C363" s="1" t="s">
        <v>1076</v>
      </c>
      <c r="D363" s="1" t="s">
        <v>534</v>
      </c>
      <c r="E363" s="1" t="s">
        <v>102</v>
      </c>
      <c r="F363" s="1" t="s">
        <v>63</v>
      </c>
      <c r="G363" s="1" t="s">
        <v>64</v>
      </c>
      <c r="H363" s="1" t="s">
        <v>41</v>
      </c>
      <c r="I363" s="1" t="s">
        <v>42</v>
      </c>
      <c r="J363" s="1">
        <v>9.4</v>
      </c>
      <c r="K363" s="1" t="s">
        <v>876</v>
      </c>
      <c r="L363" s="1" t="s">
        <v>141</v>
      </c>
      <c r="M363" s="1" t="s">
        <v>45</v>
      </c>
      <c r="N363" s="1" t="s">
        <v>116</v>
      </c>
      <c r="O363" s="2">
        <v>45772</v>
      </c>
      <c r="P363" s="2">
        <v>45774</v>
      </c>
      <c r="Q363" s="1" t="b">
        <v>0</v>
      </c>
      <c r="S363" s="1" t="b">
        <v>0</v>
      </c>
      <c r="U363" s="1" t="b">
        <v>0</v>
      </c>
      <c r="W363" s="1" t="b">
        <v>0</v>
      </c>
      <c r="Y363" s="1">
        <v>66</v>
      </c>
      <c r="Z363" s="1">
        <v>67</v>
      </c>
      <c r="AA363" s="1">
        <v>69</v>
      </c>
      <c r="AB363" s="1" t="b">
        <v>0</v>
      </c>
      <c r="AD363" s="1" t="b">
        <v>0</v>
      </c>
      <c r="AF363" s="1" t="s">
        <v>77</v>
      </c>
      <c r="AG363" s="1" t="s">
        <v>69</v>
      </c>
      <c r="AH363" s="1">
        <v>2</v>
      </c>
      <c r="AI363" s="1" t="s">
        <v>70</v>
      </c>
    </row>
    <row r="364" spans="1:35" ht="12.5" hidden="1" x14ac:dyDescent="0.25">
      <c r="A364" s="1">
        <v>360</v>
      </c>
      <c r="B364" s="1" t="s">
        <v>1077</v>
      </c>
      <c r="C364" s="1" t="s">
        <v>1078</v>
      </c>
      <c r="D364" s="1" t="s">
        <v>225</v>
      </c>
      <c r="E364" s="1" t="s">
        <v>38</v>
      </c>
      <c r="F364" s="1" t="s">
        <v>63</v>
      </c>
      <c r="G364" s="1" t="s">
        <v>139</v>
      </c>
      <c r="H364" s="1" t="s">
        <v>65</v>
      </c>
      <c r="I364" s="1" t="s">
        <v>103</v>
      </c>
      <c r="J364" s="1">
        <v>10.6</v>
      </c>
      <c r="K364" s="1" t="s">
        <v>89</v>
      </c>
      <c r="L364" s="1" t="s">
        <v>90</v>
      </c>
      <c r="M364" s="1" t="s">
        <v>129</v>
      </c>
      <c r="N364" s="1" t="s">
        <v>46</v>
      </c>
      <c r="O364" s="2">
        <v>45720</v>
      </c>
      <c r="P364" s="2">
        <v>45724</v>
      </c>
      <c r="Q364" s="1" t="b">
        <v>1</v>
      </c>
      <c r="R364" s="1">
        <v>12</v>
      </c>
      <c r="S364" s="1" t="b">
        <v>0</v>
      </c>
      <c r="U364" s="1" t="b">
        <v>0</v>
      </c>
      <c r="W364" s="1" t="b">
        <v>0</v>
      </c>
      <c r="Y364" s="1">
        <v>96</v>
      </c>
      <c r="Z364" s="1">
        <v>85</v>
      </c>
      <c r="AA364" s="1">
        <v>100</v>
      </c>
      <c r="AB364" s="1" t="b">
        <v>0</v>
      </c>
      <c r="AD364" s="1" t="b">
        <v>0</v>
      </c>
      <c r="AF364" s="1" t="s">
        <v>57</v>
      </c>
      <c r="AG364" s="1" t="s">
        <v>152</v>
      </c>
      <c r="AH364" s="1">
        <v>4</v>
      </c>
      <c r="AI364" s="1" t="s">
        <v>135</v>
      </c>
    </row>
    <row r="365" spans="1:35" ht="12.5" x14ac:dyDescent="0.25">
      <c r="A365" s="1">
        <v>361</v>
      </c>
      <c r="B365" s="1" t="s">
        <v>1079</v>
      </c>
      <c r="C365" s="1" t="s">
        <v>1080</v>
      </c>
      <c r="D365" s="1" t="s">
        <v>473</v>
      </c>
      <c r="E365" s="1" t="s">
        <v>52</v>
      </c>
      <c r="F365" s="1" t="s">
        <v>74</v>
      </c>
      <c r="G365" s="1" t="s">
        <v>139</v>
      </c>
      <c r="H365" s="1" t="s">
        <v>41</v>
      </c>
      <c r="I365" s="1" t="s">
        <v>42</v>
      </c>
      <c r="J365" s="1">
        <v>5.8</v>
      </c>
      <c r="K365" s="1" t="s">
        <v>379</v>
      </c>
      <c r="L365" s="1" t="s">
        <v>44</v>
      </c>
      <c r="M365" s="1" t="s">
        <v>115</v>
      </c>
      <c r="N365" s="1" t="s">
        <v>84</v>
      </c>
      <c r="O365" s="2">
        <v>45736</v>
      </c>
      <c r="P365" s="2">
        <v>45736</v>
      </c>
      <c r="Q365" s="1" t="b">
        <v>0</v>
      </c>
      <c r="S365" s="1" t="b">
        <v>0</v>
      </c>
      <c r="U365" s="1" t="b">
        <v>0</v>
      </c>
      <c r="W365" s="1" t="b">
        <v>0</v>
      </c>
      <c r="Y365" s="1">
        <v>88</v>
      </c>
      <c r="Z365" s="1">
        <v>77</v>
      </c>
      <c r="AA365" s="1">
        <v>77</v>
      </c>
      <c r="AB365" s="1" t="b">
        <v>0</v>
      </c>
      <c r="AD365" s="1" t="b">
        <v>0</v>
      </c>
      <c r="AF365" s="1" t="s">
        <v>77</v>
      </c>
      <c r="AG365" s="1" t="s">
        <v>69</v>
      </c>
      <c r="AH365" s="1">
        <v>0</v>
      </c>
      <c r="AI365" s="1" t="s">
        <v>215</v>
      </c>
    </row>
    <row r="366" spans="1:35" ht="12.5" hidden="1" x14ac:dyDescent="0.25">
      <c r="A366" s="1">
        <v>362</v>
      </c>
      <c r="B366" s="1" t="s">
        <v>1081</v>
      </c>
      <c r="C366" s="1" t="s">
        <v>1082</v>
      </c>
      <c r="D366" s="1" t="s">
        <v>199</v>
      </c>
      <c r="E366" s="1" t="s">
        <v>62</v>
      </c>
      <c r="F366" s="1" t="s">
        <v>63</v>
      </c>
      <c r="G366" s="1" t="s">
        <v>64</v>
      </c>
      <c r="H366" s="1" t="s">
        <v>41</v>
      </c>
      <c r="I366" s="1" t="s">
        <v>53</v>
      </c>
      <c r="J366" s="1">
        <v>5.4</v>
      </c>
      <c r="K366" s="1" t="s">
        <v>425</v>
      </c>
      <c r="L366" s="1" t="s">
        <v>55</v>
      </c>
      <c r="M366" s="1" t="s">
        <v>115</v>
      </c>
      <c r="N366" s="1" t="s">
        <v>84</v>
      </c>
      <c r="O366" s="2">
        <v>45703</v>
      </c>
      <c r="P366" s="2">
        <v>45703</v>
      </c>
      <c r="Q366" s="1" t="b">
        <v>1</v>
      </c>
      <c r="R366" s="1">
        <v>8</v>
      </c>
      <c r="S366" s="1" t="b">
        <v>1</v>
      </c>
      <c r="T366" s="2">
        <v>45706</v>
      </c>
      <c r="U366" s="1" t="b">
        <v>1</v>
      </c>
      <c r="V366" s="2">
        <v>45715</v>
      </c>
      <c r="W366" s="1" t="b">
        <v>1</v>
      </c>
      <c r="X366" s="2">
        <v>45719</v>
      </c>
      <c r="Y366" s="1">
        <v>76</v>
      </c>
      <c r="Z366" s="1">
        <v>69</v>
      </c>
      <c r="AA366" s="1">
        <v>73</v>
      </c>
      <c r="AB366" s="1" t="b">
        <v>0</v>
      </c>
      <c r="AD366" s="1" t="b">
        <v>0</v>
      </c>
      <c r="AF366" s="1" t="s">
        <v>47</v>
      </c>
      <c r="AG366" s="1" t="s">
        <v>117</v>
      </c>
      <c r="AH366" s="1">
        <v>16</v>
      </c>
      <c r="AI366" s="1" t="s">
        <v>135</v>
      </c>
    </row>
    <row r="367" spans="1:35" ht="12.5" x14ac:dyDescent="0.25">
      <c r="A367" s="1">
        <v>363</v>
      </c>
      <c r="B367" s="1" t="s">
        <v>1083</v>
      </c>
      <c r="C367" s="1" t="s">
        <v>1084</v>
      </c>
      <c r="D367" s="1" t="s">
        <v>121</v>
      </c>
      <c r="E367" s="1" t="s">
        <v>102</v>
      </c>
      <c r="F367" s="1" t="s">
        <v>63</v>
      </c>
      <c r="G367" s="1" t="s">
        <v>112</v>
      </c>
      <c r="H367" s="1" t="s">
        <v>65</v>
      </c>
      <c r="I367" s="1" t="s">
        <v>103</v>
      </c>
      <c r="J367" s="1">
        <v>10.6</v>
      </c>
      <c r="K367" s="1" t="s">
        <v>847</v>
      </c>
      <c r="L367" s="1" t="s">
        <v>90</v>
      </c>
      <c r="M367" s="1" t="s">
        <v>91</v>
      </c>
      <c r="N367" s="1" t="s">
        <v>84</v>
      </c>
      <c r="O367" s="2">
        <v>45767</v>
      </c>
      <c r="P367" s="2">
        <v>45770</v>
      </c>
      <c r="Q367" s="1" t="b">
        <v>0</v>
      </c>
      <c r="S367" s="1" t="b">
        <v>0</v>
      </c>
      <c r="U367" s="1" t="b">
        <v>0</v>
      </c>
      <c r="W367" s="1" t="b">
        <v>0</v>
      </c>
      <c r="Y367" s="1">
        <v>83</v>
      </c>
      <c r="Z367" s="1">
        <v>69</v>
      </c>
      <c r="AA367" s="1">
        <v>72</v>
      </c>
      <c r="AB367" s="1" t="b">
        <v>0</v>
      </c>
      <c r="AD367" s="1" t="b">
        <v>0</v>
      </c>
      <c r="AF367" s="1" t="s">
        <v>77</v>
      </c>
      <c r="AG367" s="1" t="s">
        <v>69</v>
      </c>
      <c r="AH367" s="1">
        <v>3</v>
      </c>
      <c r="AI367" s="1" t="s">
        <v>165</v>
      </c>
    </row>
    <row r="368" spans="1:35" ht="12.5" x14ac:dyDescent="0.25">
      <c r="A368" s="1">
        <v>364</v>
      </c>
      <c r="B368" s="1" t="s">
        <v>1085</v>
      </c>
      <c r="C368" s="1" t="s">
        <v>1086</v>
      </c>
      <c r="D368" s="1" t="s">
        <v>164</v>
      </c>
      <c r="E368" s="1" t="s">
        <v>38</v>
      </c>
      <c r="F368" s="1" t="s">
        <v>74</v>
      </c>
      <c r="G368" s="1" t="s">
        <v>139</v>
      </c>
      <c r="H368" s="1" t="s">
        <v>88</v>
      </c>
      <c r="I368" s="1" t="s">
        <v>53</v>
      </c>
      <c r="J368" s="1">
        <v>3.2</v>
      </c>
      <c r="K368" s="1" t="s">
        <v>657</v>
      </c>
      <c r="L368" s="1" t="s">
        <v>90</v>
      </c>
      <c r="M368" s="1" t="s">
        <v>91</v>
      </c>
      <c r="N368" s="1" t="s">
        <v>46</v>
      </c>
      <c r="O368" s="2">
        <v>45732</v>
      </c>
      <c r="P368" s="2">
        <v>45736</v>
      </c>
      <c r="Q368" s="1" t="b">
        <v>0</v>
      </c>
      <c r="S368" s="1" t="b">
        <v>0</v>
      </c>
      <c r="U368" s="1" t="b">
        <v>0</v>
      </c>
      <c r="W368" s="1" t="b">
        <v>0</v>
      </c>
      <c r="Y368" s="1">
        <v>77</v>
      </c>
      <c r="Z368" s="1">
        <v>71</v>
      </c>
      <c r="AA368" s="1">
        <v>73</v>
      </c>
      <c r="AB368" s="1" t="b">
        <v>0</v>
      </c>
      <c r="AD368" s="1" t="b">
        <v>0</v>
      </c>
      <c r="AF368" s="1" t="s">
        <v>77</v>
      </c>
      <c r="AG368" s="1" t="s">
        <v>69</v>
      </c>
      <c r="AH368" s="1">
        <v>4</v>
      </c>
      <c r="AI368" s="1" t="s">
        <v>70</v>
      </c>
    </row>
    <row r="369" spans="1:35" ht="12.5" hidden="1" x14ac:dyDescent="0.25">
      <c r="A369" s="1">
        <v>365</v>
      </c>
      <c r="B369" s="1" t="s">
        <v>1087</v>
      </c>
      <c r="C369" s="1" t="s">
        <v>1088</v>
      </c>
      <c r="D369" s="1" t="s">
        <v>263</v>
      </c>
      <c r="E369" s="1" t="s">
        <v>38</v>
      </c>
      <c r="F369" s="1" t="s">
        <v>111</v>
      </c>
      <c r="G369" s="1" t="s">
        <v>75</v>
      </c>
      <c r="H369" s="1" t="s">
        <v>65</v>
      </c>
      <c r="I369" s="1" t="s">
        <v>53</v>
      </c>
      <c r="J369" s="1">
        <v>5.0999999999999996</v>
      </c>
      <c r="K369" s="1" t="s">
        <v>711</v>
      </c>
      <c r="L369" s="1" t="s">
        <v>44</v>
      </c>
      <c r="M369" s="1" t="s">
        <v>115</v>
      </c>
      <c r="N369" s="1" t="s">
        <v>92</v>
      </c>
      <c r="O369" s="2">
        <v>45701</v>
      </c>
      <c r="P369" s="2">
        <v>45705</v>
      </c>
      <c r="Q369" s="1" t="b">
        <v>1</v>
      </c>
      <c r="R369" s="1">
        <v>2</v>
      </c>
      <c r="S369" s="1" t="b">
        <v>1</v>
      </c>
      <c r="T369" s="2">
        <v>45713</v>
      </c>
      <c r="U369" s="1" t="b">
        <v>0</v>
      </c>
      <c r="W369" s="1" t="b">
        <v>0</v>
      </c>
      <c r="Y369" s="1">
        <v>53</v>
      </c>
      <c r="Z369" s="1">
        <v>77</v>
      </c>
      <c r="AA369" s="1">
        <v>52</v>
      </c>
      <c r="AB369" s="1" t="b">
        <v>0</v>
      </c>
      <c r="AD369" s="1" t="b">
        <v>0</v>
      </c>
      <c r="AF369" s="1" t="s">
        <v>151</v>
      </c>
      <c r="AH369" s="1">
        <v>12</v>
      </c>
      <c r="AI369" s="1" t="s">
        <v>58</v>
      </c>
    </row>
    <row r="370" spans="1:35" ht="12.5" x14ac:dyDescent="0.25">
      <c r="A370" s="1">
        <v>366</v>
      </c>
      <c r="B370" s="1" t="s">
        <v>1089</v>
      </c>
      <c r="C370" s="1" t="s">
        <v>1090</v>
      </c>
      <c r="D370" s="1" t="s">
        <v>271</v>
      </c>
      <c r="E370" s="1" t="s">
        <v>52</v>
      </c>
      <c r="F370" s="1" t="s">
        <v>63</v>
      </c>
      <c r="G370" s="1" t="s">
        <v>64</v>
      </c>
      <c r="H370" s="1" t="s">
        <v>65</v>
      </c>
      <c r="I370" s="1" t="s">
        <v>82</v>
      </c>
      <c r="J370" s="1">
        <v>0.3</v>
      </c>
      <c r="K370" s="1" t="s">
        <v>83</v>
      </c>
      <c r="L370" s="1" t="s">
        <v>114</v>
      </c>
      <c r="M370" s="1" t="s">
        <v>91</v>
      </c>
      <c r="N370" s="1" t="s">
        <v>84</v>
      </c>
      <c r="O370" s="2">
        <v>45678</v>
      </c>
      <c r="P370" s="2">
        <v>45678</v>
      </c>
      <c r="Q370" s="1" t="b">
        <v>0</v>
      </c>
      <c r="S370" s="1" t="b">
        <v>0</v>
      </c>
      <c r="U370" s="1" t="b">
        <v>0</v>
      </c>
      <c r="W370" s="1" t="b">
        <v>0</v>
      </c>
      <c r="Y370" s="1">
        <v>70</v>
      </c>
      <c r="Z370" s="1">
        <v>61</v>
      </c>
      <c r="AA370" s="1">
        <v>62</v>
      </c>
      <c r="AB370" s="1" t="b">
        <v>0</v>
      </c>
      <c r="AD370" s="1" t="b">
        <v>0</v>
      </c>
      <c r="AF370" s="1" t="s">
        <v>77</v>
      </c>
      <c r="AG370" s="1" t="s">
        <v>69</v>
      </c>
      <c r="AH370" s="1">
        <v>0</v>
      </c>
      <c r="AI370" s="1" t="s">
        <v>215</v>
      </c>
    </row>
    <row r="371" spans="1:35" ht="12.5" hidden="1" x14ac:dyDescent="0.25">
      <c r="A371" s="1">
        <v>367</v>
      </c>
      <c r="B371" s="1" t="s">
        <v>1091</v>
      </c>
      <c r="C371" s="1" t="s">
        <v>1092</v>
      </c>
      <c r="D371" s="1" t="s">
        <v>229</v>
      </c>
      <c r="E371" s="1" t="s">
        <v>38</v>
      </c>
      <c r="F371" s="1" t="s">
        <v>111</v>
      </c>
      <c r="G371" s="1" t="s">
        <v>40</v>
      </c>
      <c r="H371" s="1" t="s">
        <v>88</v>
      </c>
      <c r="I371" s="1" t="s">
        <v>42</v>
      </c>
      <c r="J371" s="1">
        <v>6.2</v>
      </c>
      <c r="K371" s="1" t="s">
        <v>885</v>
      </c>
      <c r="L371" s="1" t="s">
        <v>44</v>
      </c>
      <c r="M371" s="1" t="s">
        <v>123</v>
      </c>
      <c r="N371" s="1" t="s">
        <v>84</v>
      </c>
      <c r="O371" s="2">
        <v>45736</v>
      </c>
      <c r="P371" s="2">
        <v>45736</v>
      </c>
      <c r="Q371" s="1" t="b">
        <v>1</v>
      </c>
      <c r="R371" s="1">
        <v>6</v>
      </c>
      <c r="S371" s="1" t="b">
        <v>1</v>
      </c>
      <c r="T371" s="2">
        <v>45741</v>
      </c>
      <c r="U371" s="1" t="b">
        <v>1</v>
      </c>
      <c r="V371" s="2">
        <v>45754</v>
      </c>
      <c r="W371" s="1" t="b">
        <v>1</v>
      </c>
      <c r="X371" s="2">
        <v>45762</v>
      </c>
      <c r="Y371" s="1">
        <v>78</v>
      </c>
      <c r="Z371" s="1">
        <v>87</v>
      </c>
      <c r="AA371" s="1">
        <v>78</v>
      </c>
      <c r="AB371" s="1" t="b">
        <v>1</v>
      </c>
      <c r="AC371" s="2">
        <v>45768</v>
      </c>
      <c r="AD371" s="1" t="b">
        <v>1</v>
      </c>
      <c r="AE371" s="2">
        <v>45773</v>
      </c>
      <c r="AF371" s="1" t="s">
        <v>134</v>
      </c>
      <c r="AH371" s="1">
        <v>37</v>
      </c>
      <c r="AI371" s="1" t="s">
        <v>118</v>
      </c>
    </row>
    <row r="372" spans="1:35" ht="12.5" hidden="1" x14ac:dyDescent="0.25">
      <c r="A372" s="1">
        <v>368</v>
      </c>
      <c r="B372" s="1" t="s">
        <v>1093</v>
      </c>
      <c r="C372" s="1" t="s">
        <v>1094</v>
      </c>
      <c r="D372" s="1" t="s">
        <v>278</v>
      </c>
      <c r="E372" s="1" t="s">
        <v>102</v>
      </c>
      <c r="F372" s="1" t="s">
        <v>39</v>
      </c>
      <c r="G372" s="1" t="s">
        <v>139</v>
      </c>
      <c r="H372" s="1" t="s">
        <v>88</v>
      </c>
      <c r="I372" s="1" t="s">
        <v>53</v>
      </c>
      <c r="J372" s="1">
        <v>5</v>
      </c>
      <c r="K372" s="1" t="s">
        <v>379</v>
      </c>
      <c r="L372" s="1" t="s">
        <v>141</v>
      </c>
      <c r="M372" s="1" t="s">
        <v>146</v>
      </c>
      <c r="N372" s="1" t="s">
        <v>84</v>
      </c>
      <c r="O372" s="2">
        <v>45733</v>
      </c>
      <c r="P372" s="2">
        <v>45735</v>
      </c>
      <c r="Q372" s="1" t="b">
        <v>1</v>
      </c>
      <c r="R372" s="1">
        <v>11</v>
      </c>
      <c r="S372" s="1" t="b">
        <v>1</v>
      </c>
      <c r="T372" s="2">
        <v>45740</v>
      </c>
      <c r="U372" s="1" t="b">
        <v>1</v>
      </c>
      <c r="V372" s="2">
        <v>45743</v>
      </c>
      <c r="W372" s="1" t="b">
        <v>1</v>
      </c>
      <c r="X372" s="2">
        <v>45751</v>
      </c>
      <c r="Y372" s="1">
        <v>65</v>
      </c>
      <c r="Z372" s="1">
        <v>82</v>
      </c>
      <c r="AA372" s="1">
        <v>69</v>
      </c>
      <c r="AB372" s="1" t="b">
        <v>0</v>
      </c>
      <c r="AD372" s="1" t="b">
        <v>0</v>
      </c>
      <c r="AF372" s="1" t="s">
        <v>47</v>
      </c>
      <c r="AG372" s="1" t="s">
        <v>207</v>
      </c>
      <c r="AH372" s="1">
        <v>18</v>
      </c>
      <c r="AI372" s="1" t="s">
        <v>70</v>
      </c>
    </row>
    <row r="373" spans="1:35" ht="12.5" hidden="1" x14ac:dyDescent="0.25">
      <c r="A373" s="1">
        <v>369</v>
      </c>
      <c r="B373" s="1" t="s">
        <v>1095</v>
      </c>
      <c r="C373" s="1" t="s">
        <v>1096</v>
      </c>
      <c r="D373" s="1" t="s">
        <v>171</v>
      </c>
      <c r="E373" s="1" t="s">
        <v>52</v>
      </c>
      <c r="F373" s="1" t="s">
        <v>74</v>
      </c>
      <c r="G373" s="1" t="s">
        <v>75</v>
      </c>
      <c r="H373" s="1" t="s">
        <v>41</v>
      </c>
      <c r="I373" s="1" t="s">
        <v>42</v>
      </c>
      <c r="J373" s="1">
        <v>7.2</v>
      </c>
      <c r="K373" s="1" t="s">
        <v>323</v>
      </c>
      <c r="L373" s="1" t="s">
        <v>67</v>
      </c>
      <c r="M373" s="1" t="s">
        <v>56</v>
      </c>
      <c r="N373" s="1" t="s">
        <v>116</v>
      </c>
      <c r="O373" s="2">
        <v>45757</v>
      </c>
      <c r="P373" s="2">
        <v>45765</v>
      </c>
      <c r="Q373" s="1" t="b">
        <v>1</v>
      </c>
      <c r="R373" s="1">
        <v>11</v>
      </c>
      <c r="S373" s="1" t="b">
        <v>1</v>
      </c>
      <c r="T373" s="2">
        <v>45769</v>
      </c>
      <c r="U373" s="1" t="b">
        <v>0</v>
      </c>
      <c r="W373" s="1" t="b">
        <v>0</v>
      </c>
      <c r="Y373" s="1">
        <v>82</v>
      </c>
      <c r="Z373" s="1">
        <v>80</v>
      </c>
      <c r="AA373" s="1">
        <v>72</v>
      </c>
      <c r="AB373" s="1" t="b">
        <v>0</v>
      </c>
      <c r="AD373" s="1" t="b">
        <v>0</v>
      </c>
      <c r="AF373" s="1" t="s">
        <v>151</v>
      </c>
      <c r="AH373" s="1">
        <v>12</v>
      </c>
      <c r="AI373" s="1" t="s">
        <v>215</v>
      </c>
    </row>
    <row r="374" spans="1:35" ht="12.5" hidden="1" x14ac:dyDescent="0.25">
      <c r="A374" s="1">
        <v>370</v>
      </c>
      <c r="B374" s="1" t="s">
        <v>1097</v>
      </c>
      <c r="C374" s="1" t="s">
        <v>1098</v>
      </c>
      <c r="D374" s="1" t="s">
        <v>580</v>
      </c>
      <c r="E374" s="1" t="s">
        <v>38</v>
      </c>
      <c r="F374" s="1" t="s">
        <v>39</v>
      </c>
      <c r="G374" s="1" t="s">
        <v>64</v>
      </c>
      <c r="H374" s="1" t="s">
        <v>88</v>
      </c>
      <c r="I374" s="1" t="s">
        <v>42</v>
      </c>
      <c r="J374" s="1">
        <v>5.7</v>
      </c>
      <c r="K374" s="1" t="s">
        <v>584</v>
      </c>
      <c r="L374" s="1" t="s">
        <v>67</v>
      </c>
      <c r="M374" s="1" t="s">
        <v>129</v>
      </c>
      <c r="N374" s="1" t="s">
        <v>84</v>
      </c>
      <c r="O374" s="2">
        <v>45660</v>
      </c>
      <c r="P374" s="2">
        <v>45666</v>
      </c>
      <c r="Q374" s="1" t="b">
        <v>1</v>
      </c>
      <c r="R374" s="1">
        <v>3</v>
      </c>
      <c r="S374" s="1" t="b">
        <v>0</v>
      </c>
      <c r="U374" s="1" t="b">
        <v>0</v>
      </c>
      <c r="W374" s="1" t="b">
        <v>0</v>
      </c>
      <c r="Y374" s="1">
        <v>78</v>
      </c>
      <c r="Z374" s="1">
        <v>86</v>
      </c>
      <c r="AA374" s="1">
        <v>88</v>
      </c>
      <c r="AB374" s="1" t="b">
        <v>0</v>
      </c>
      <c r="AD374" s="1" t="b">
        <v>0</v>
      </c>
      <c r="AF374" s="1" t="s">
        <v>57</v>
      </c>
      <c r="AG374" s="1" t="s">
        <v>207</v>
      </c>
      <c r="AH374" s="1">
        <v>6</v>
      </c>
      <c r="AI374" s="1" t="s">
        <v>135</v>
      </c>
    </row>
    <row r="375" spans="1:35" ht="12.5" hidden="1" x14ac:dyDescent="0.25">
      <c r="A375" s="1">
        <v>371</v>
      </c>
      <c r="B375" s="1" t="s">
        <v>1099</v>
      </c>
      <c r="C375" s="1" t="s">
        <v>1100</v>
      </c>
      <c r="D375" s="1" t="s">
        <v>179</v>
      </c>
      <c r="E375" s="1" t="s">
        <v>38</v>
      </c>
      <c r="F375" s="1" t="s">
        <v>74</v>
      </c>
      <c r="G375" s="1" t="s">
        <v>40</v>
      </c>
      <c r="H375" s="1" t="s">
        <v>88</v>
      </c>
      <c r="I375" s="1" t="s">
        <v>53</v>
      </c>
      <c r="J375" s="1">
        <v>4.4000000000000004</v>
      </c>
      <c r="K375" s="1" t="s">
        <v>806</v>
      </c>
      <c r="L375" s="1" t="s">
        <v>90</v>
      </c>
      <c r="M375" s="1" t="s">
        <v>68</v>
      </c>
      <c r="N375" s="1" t="s">
        <v>116</v>
      </c>
      <c r="O375" s="2">
        <v>45694</v>
      </c>
      <c r="P375" s="2">
        <v>45694</v>
      </c>
      <c r="Q375" s="1" t="b">
        <v>1</v>
      </c>
      <c r="R375" s="1">
        <v>6</v>
      </c>
      <c r="S375" s="1" t="b">
        <v>1</v>
      </c>
      <c r="T375" s="2">
        <v>45703</v>
      </c>
      <c r="U375" s="1" t="b">
        <v>1</v>
      </c>
      <c r="V375" s="2">
        <v>45708</v>
      </c>
      <c r="W375" s="1" t="b">
        <v>1</v>
      </c>
      <c r="X375" s="2">
        <v>45716</v>
      </c>
      <c r="Y375" s="1">
        <v>72</v>
      </c>
      <c r="Z375" s="1">
        <v>74</v>
      </c>
      <c r="AA375" s="1">
        <v>75</v>
      </c>
      <c r="AB375" s="1" t="b">
        <v>1</v>
      </c>
      <c r="AC375" s="2">
        <v>45719</v>
      </c>
      <c r="AD375" s="1" t="b">
        <v>1</v>
      </c>
      <c r="AE375" s="2">
        <v>45731</v>
      </c>
      <c r="AF375" s="1" t="s">
        <v>134</v>
      </c>
      <c r="AH375" s="1">
        <v>37</v>
      </c>
      <c r="AI375" s="1" t="s">
        <v>165</v>
      </c>
    </row>
    <row r="376" spans="1:35" ht="12.5" x14ac:dyDescent="0.25">
      <c r="A376" s="1">
        <v>372</v>
      </c>
      <c r="B376" s="1" t="s">
        <v>1101</v>
      </c>
      <c r="C376" s="1" t="s">
        <v>1102</v>
      </c>
      <c r="D376" s="1" t="s">
        <v>664</v>
      </c>
      <c r="E376" s="1" t="s">
        <v>102</v>
      </c>
      <c r="F376" s="1" t="s">
        <v>111</v>
      </c>
      <c r="G376" s="1" t="s">
        <v>64</v>
      </c>
      <c r="H376" s="1" t="s">
        <v>88</v>
      </c>
      <c r="I376" s="1" t="s">
        <v>103</v>
      </c>
      <c r="J376" s="1">
        <v>11.4</v>
      </c>
      <c r="K376" s="1" t="s">
        <v>290</v>
      </c>
      <c r="L376" s="1" t="s">
        <v>44</v>
      </c>
      <c r="M376" s="1" t="s">
        <v>45</v>
      </c>
      <c r="N376" s="1" t="s">
        <v>116</v>
      </c>
      <c r="O376" s="2">
        <v>45696</v>
      </c>
      <c r="P376" s="2">
        <v>45696</v>
      </c>
      <c r="Q376" s="1" t="b">
        <v>0</v>
      </c>
      <c r="S376" s="1" t="b">
        <v>0</v>
      </c>
      <c r="U376" s="1" t="b">
        <v>0</v>
      </c>
      <c r="W376" s="1" t="b">
        <v>0</v>
      </c>
      <c r="Y376" s="1">
        <v>68</v>
      </c>
      <c r="Z376" s="1">
        <v>70</v>
      </c>
      <c r="AA376" s="1">
        <v>61</v>
      </c>
      <c r="AB376" s="1" t="b">
        <v>0</v>
      </c>
      <c r="AD376" s="1" t="b">
        <v>0</v>
      </c>
      <c r="AF376" s="1" t="s">
        <v>77</v>
      </c>
      <c r="AG376" s="1" t="s">
        <v>69</v>
      </c>
      <c r="AH376" s="1">
        <v>0</v>
      </c>
      <c r="AI376" s="1" t="s">
        <v>135</v>
      </c>
    </row>
    <row r="377" spans="1:35" ht="12.5" x14ac:dyDescent="0.25">
      <c r="A377" s="1">
        <v>373</v>
      </c>
      <c r="B377" s="1" t="s">
        <v>1103</v>
      </c>
      <c r="C377" s="1" t="s">
        <v>1104</v>
      </c>
      <c r="D377" s="1" t="s">
        <v>508</v>
      </c>
      <c r="E377" s="1" t="s">
        <v>38</v>
      </c>
      <c r="F377" s="1" t="s">
        <v>111</v>
      </c>
      <c r="G377" s="1" t="s">
        <v>97</v>
      </c>
      <c r="H377" s="1" t="s">
        <v>41</v>
      </c>
      <c r="I377" s="1" t="s">
        <v>82</v>
      </c>
      <c r="J377" s="1">
        <v>2</v>
      </c>
      <c r="K377" s="1" t="s">
        <v>104</v>
      </c>
      <c r="L377" s="1" t="s">
        <v>141</v>
      </c>
      <c r="M377" s="1" t="s">
        <v>146</v>
      </c>
      <c r="N377" s="1" t="s">
        <v>46</v>
      </c>
      <c r="O377" s="2">
        <v>45675</v>
      </c>
      <c r="P377" s="2">
        <v>45680</v>
      </c>
      <c r="Q377" s="1" t="b">
        <v>0</v>
      </c>
      <c r="S377" s="1" t="b">
        <v>0</v>
      </c>
      <c r="U377" s="1" t="b">
        <v>0</v>
      </c>
      <c r="W377" s="1" t="b">
        <v>0</v>
      </c>
      <c r="Y377" s="1">
        <v>78</v>
      </c>
      <c r="Z377" s="1">
        <v>74</v>
      </c>
      <c r="AA377" s="1">
        <v>73</v>
      </c>
      <c r="AB377" s="1" t="b">
        <v>0</v>
      </c>
      <c r="AD377" s="1" t="b">
        <v>0</v>
      </c>
      <c r="AF377" s="1" t="s">
        <v>77</v>
      </c>
      <c r="AG377" s="1" t="s">
        <v>69</v>
      </c>
      <c r="AH377" s="1">
        <v>5</v>
      </c>
      <c r="AI377" s="1" t="s">
        <v>118</v>
      </c>
    </row>
    <row r="378" spans="1:35" ht="12.5" x14ac:dyDescent="0.25">
      <c r="A378" s="1">
        <v>374</v>
      </c>
      <c r="B378" s="1" t="s">
        <v>1105</v>
      </c>
      <c r="C378" s="1" t="s">
        <v>1106</v>
      </c>
      <c r="D378" s="1" t="s">
        <v>737</v>
      </c>
      <c r="E378" s="1" t="s">
        <v>102</v>
      </c>
      <c r="F378" s="1" t="s">
        <v>39</v>
      </c>
      <c r="G378" s="1" t="s">
        <v>139</v>
      </c>
      <c r="H378" s="1" t="s">
        <v>65</v>
      </c>
      <c r="I378" s="1" t="s">
        <v>53</v>
      </c>
      <c r="J378" s="1">
        <v>4.7</v>
      </c>
      <c r="K378" s="1" t="s">
        <v>730</v>
      </c>
      <c r="L378" s="1" t="s">
        <v>114</v>
      </c>
      <c r="M378" s="1" t="s">
        <v>146</v>
      </c>
      <c r="N378" s="1" t="s">
        <v>84</v>
      </c>
      <c r="O378" s="2">
        <v>45754</v>
      </c>
      <c r="P378" s="2">
        <v>45758</v>
      </c>
      <c r="Q378" s="1" t="b">
        <v>0</v>
      </c>
      <c r="S378" s="1" t="b">
        <v>0</v>
      </c>
      <c r="U378" s="1" t="b">
        <v>0</v>
      </c>
      <c r="W378" s="1" t="b">
        <v>0</v>
      </c>
      <c r="Y378" s="1">
        <v>78</v>
      </c>
      <c r="Z378" s="1">
        <v>84</v>
      </c>
      <c r="AA378" s="1">
        <v>72</v>
      </c>
      <c r="AB378" s="1" t="b">
        <v>0</v>
      </c>
      <c r="AD378" s="1" t="b">
        <v>0</v>
      </c>
      <c r="AF378" s="1" t="s">
        <v>77</v>
      </c>
      <c r="AG378" s="1" t="s">
        <v>69</v>
      </c>
      <c r="AH378" s="1">
        <v>4</v>
      </c>
      <c r="AI378" s="1" t="s">
        <v>135</v>
      </c>
    </row>
    <row r="379" spans="1:35" ht="12.5" hidden="1" x14ac:dyDescent="0.25">
      <c r="A379" s="1">
        <v>375</v>
      </c>
      <c r="B379" s="1" t="s">
        <v>1107</v>
      </c>
      <c r="C379" s="1" t="s">
        <v>1108</v>
      </c>
      <c r="D379" s="1" t="s">
        <v>322</v>
      </c>
      <c r="E379" s="1" t="s">
        <v>62</v>
      </c>
      <c r="F379" s="1" t="s">
        <v>63</v>
      </c>
      <c r="G379" s="1" t="s">
        <v>139</v>
      </c>
      <c r="H379" s="1" t="s">
        <v>65</v>
      </c>
      <c r="I379" s="1" t="s">
        <v>42</v>
      </c>
      <c r="J379" s="1">
        <v>6.5</v>
      </c>
      <c r="K379" s="1" t="s">
        <v>749</v>
      </c>
      <c r="L379" s="1" t="s">
        <v>114</v>
      </c>
      <c r="M379" s="1" t="s">
        <v>146</v>
      </c>
      <c r="N379" s="1" t="s">
        <v>84</v>
      </c>
      <c r="O379" s="2">
        <v>45802</v>
      </c>
      <c r="P379" s="2">
        <v>45804</v>
      </c>
      <c r="Q379" s="1" t="b">
        <v>1</v>
      </c>
      <c r="R379" s="1">
        <v>8</v>
      </c>
      <c r="S379" s="1" t="b">
        <v>1</v>
      </c>
      <c r="T379" s="2">
        <v>45809</v>
      </c>
      <c r="U379" s="1" t="b">
        <v>1</v>
      </c>
      <c r="V379" s="2">
        <v>45818</v>
      </c>
      <c r="W379" s="1" t="b">
        <v>1</v>
      </c>
      <c r="X379" s="2">
        <v>45819</v>
      </c>
      <c r="Y379" s="1">
        <v>53</v>
      </c>
      <c r="Z379" s="1">
        <v>77</v>
      </c>
      <c r="AA379" s="1">
        <v>62</v>
      </c>
      <c r="AB379" s="1" t="b">
        <v>0</v>
      </c>
      <c r="AD379" s="1" t="b">
        <v>0</v>
      </c>
      <c r="AF379" s="1" t="s">
        <v>47</v>
      </c>
      <c r="AH379" s="1">
        <v>17</v>
      </c>
      <c r="AI379" s="1" t="s">
        <v>215</v>
      </c>
    </row>
    <row r="380" spans="1:35" ht="12.5" hidden="1" x14ac:dyDescent="0.25">
      <c r="A380" s="1">
        <v>376</v>
      </c>
      <c r="B380" s="1" t="s">
        <v>1109</v>
      </c>
      <c r="C380" s="1" t="s">
        <v>1110</v>
      </c>
      <c r="D380" s="1" t="s">
        <v>256</v>
      </c>
      <c r="E380" s="1" t="s">
        <v>102</v>
      </c>
      <c r="F380" s="1" t="s">
        <v>63</v>
      </c>
      <c r="G380" s="1" t="s">
        <v>75</v>
      </c>
      <c r="H380" s="1" t="s">
        <v>41</v>
      </c>
      <c r="I380" s="1" t="s">
        <v>42</v>
      </c>
      <c r="J380" s="1">
        <v>8</v>
      </c>
      <c r="K380" s="1" t="s">
        <v>476</v>
      </c>
      <c r="L380" s="1" t="s">
        <v>44</v>
      </c>
      <c r="M380" s="1" t="s">
        <v>68</v>
      </c>
      <c r="N380" s="1" t="s">
        <v>84</v>
      </c>
      <c r="O380" s="2">
        <v>45755</v>
      </c>
      <c r="P380" s="2">
        <v>45755</v>
      </c>
      <c r="Q380" s="1" t="b">
        <v>1</v>
      </c>
      <c r="R380" s="1">
        <v>10</v>
      </c>
      <c r="S380" s="1" t="b">
        <v>0</v>
      </c>
      <c r="U380" s="1" t="b">
        <v>0</v>
      </c>
      <c r="W380" s="1" t="b">
        <v>0</v>
      </c>
      <c r="Y380" s="1">
        <v>80</v>
      </c>
      <c r="Z380" s="1">
        <v>91</v>
      </c>
      <c r="AA380" s="1">
        <v>82</v>
      </c>
      <c r="AB380" s="1" t="b">
        <v>0</v>
      </c>
      <c r="AD380" s="1" t="b">
        <v>0</v>
      </c>
      <c r="AF380" s="1" t="s">
        <v>57</v>
      </c>
      <c r="AH380" s="1">
        <v>0</v>
      </c>
      <c r="AI380" s="1" t="s">
        <v>135</v>
      </c>
    </row>
    <row r="381" spans="1:35" ht="12.5" x14ac:dyDescent="0.25">
      <c r="A381" s="1">
        <v>377</v>
      </c>
      <c r="B381" s="1" t="s">
        <v>1111</v>
      </c>
      <c r="C381" s="1" t="s">
        <v>1112</v>
      </c>
      <c r="D381" s="1" t="s">
        <v>218</v>
      </c>
      <c r="E381" s="1" t="s">
        <v>38</v>
      </c>
      <c r="F381" s="1" t="s">
        <v>63</v>
      </c>
      <c r="G381" s="1" t="s">
        <v>97</v>
      </c>
      <c r="H381" s="1" t="s">
        <v>41</v>
      </c>
      <c r="I381" s="1" t="s">
        <v>53</v>
      </c>
      <c r="J381" s="1">
        <v>2.2000000000000002</v>
      </c>
      <c r="K381" s="1" t="s">
        <v>1113</v>
      </c>
      <c r="L381" s="1" t="s">
        <v>90</v>
      </c>
      <c r="M381" s="1" t="s">
        <v>115</v>
      </c>
      <c r="N381" s="1" t="s">
        <v>46</v>
      </c>
      <c r="O381" s="2">
        <v>45777</v>
      </c>
      <c r="P381" s="2">
        <v>45778</v>
      </c>
      <c r="Q381" s="1" t="b">
        <v>0</v>
      </c>
      <c r="S381" s="1" t="b">
        <v>0</v>
      </c>
      <c r="U381" s="1" t="b">
        <v>0</v>
      </c>
      <c r="W381" s="1" t="b">
        <v>0</v>
      </c>
      <c r="Y381" s="1">
        <v>60</v>
      </c>
      <c r="Z381" s="1">
        <v>85</v>
      </c>
      <c r="AA381" s="1">
        <v>72</v>
      </c>
      <c r="AB381" s="1" t="b">
        <v>0</v>
      </c>
      <c r="AD381" s="1" t="b">
        <v>0</v>
      </c>
      <c r="AF381" s="1" t="s">
        <v>77</v>
      </c>
      <c r="AG381" s="1" t="s">
        <v>69</v>
      </c>
      <c r="AH381" s="1">
        <v>1</v>
      </c>
      <c r="AI381" s="1" t="s">
        <v>118</v>
      </c>
    </row>
    <row r="382" spans="1:35" ht="12.5" hidden="1" x14ac:dyDescent="0.25">
      <c r="A382" s="1">
        <v>378</v>
      </c>
      <c r="B382" s="1" t="s">
        <v>1114</v>
      </c>
      <c r="C382" s="1" t="s">
        <v>1115</v>
      </c>
      <c r="D382" s="1" t="s">
        <v>521</v>
      </c>
      <c r="E382" s="1" t="s">
        <v>38</v>
      </c>
      <c r="F382" s="1" t="s">
        <v>39</v>
      </c>
      <c r="G382" s="1" t="s">
        <v>97</v>
      </c>
      <c r="H382" s="1" t="s">
        <v>88</v>
      </c>
      <c r="I382" s="1" t="s">
        <v>53</v>
      </c>
      <c r="J382" s="1">
        <v>2.1</v>
      </c>
      <c r="K382" s="1" t="s">
        <v>210</v>
      </c>
      <c r="L382" s="1" t="s">
        <v>44</v>
      </c>
      <c r="M382" s="1" t="s">
        <v>115</v>
      </c>
      <c r="N382" s="1" t="s">
        <v>46</v>
      </c>
      <c r="O382" s="2">
        <v>45796</v>
      </c>
      <c r="P382" s="2">
        <v>45804</v>
      </c>
      <c r="Q382" s="1" t="b">
        <v>1</v>
      </c>
      <c r="R382" s="1">
        <v>1</v>
      </c>
      <c r="S382" s="1" t="b">
        <v>0</v>
      </c>
      <c r="U382" s="1" t="b">
        <v>0</v>
      </c>
      <c r="W382" s="1" t="b">
        <v>0</v>
      </c>
      <c r="Y382" s="1">
        <v>72</v>
      </c>
      <c r="Z382" s="1">
        <v>87</v>
      </c>
      <c r="AA382" s="1">
        <v>90</v>
      </c>
      <c r="AB382" s="1" t="b">
        <v>0</v>
      </c>
      <c r="AD382" s="1" t="b">
        <v>0</v>
      </c>
      <c r="AF382" s="1" t="s">
        <v>57</v>
      </c>
      <c r="AH382" s="1">
        <v>8</v>
      </c>
      <c r="AI382" s="1" t="s">
        <v>215</v>
      </c>
    </row>
    <row r="383" spans="1:35" ht="12.5" hidden="1" x14ac:dyDescent="0.25">
      <c r="A383" s="1">
        <v>379</v>
      </c>
      <c r="B383" s="1" t="s">
        <v>1116</v>
      </c>
      <c r="C383" s="1" t="s">
        <v>1117</v>
      </c>
      <c r="D383" s="1" t="s">
        <v>1014</v>
      </c>
      <c r="E383" s="1" t="s">
        <v>38</v>
      </c>
      <c r="F383" s="1" t="s">
        <v>39</v>
      </c>
      <c r="G383" s="1" t="s">
        <v>139</v>
      </c>
      <c r="H383" s="1" t="s">
        <v>88</v>
      </c>
      <c r="I383" s="1" t="s">
        <v>82</v>
      </c>
      <c r="J383" s="1">
        <v>4.3</v>
      </c>
      <c r="K383" s="1" t="s">
        <v>844</v>
      </c>
      <c r="L383" s="1" t="s">
        <v>90</v>
      </c>
      <c r="M383" s="1" t="s">
        <v>56</v>
      </c>
      <c r="N383" s="1" t="s">
        <v>46</v>
      </c>
      <c r="O383" s="2">
        <v>45680</v>
      </c>
      <c r="P383" s="2">
        <v>45683</v>
      </c>
      <c r="Q383" s="1" t="b">
        <v>1</v>
      </c>
      <c r="R383" s="1">
        <v>1</v>
      </c>
      <c r="S383" s="1" t="b">
        <v>1</v>
      </c>
      <c r="T383" s="2">
        <v>45686</v>
      </c>
      <c r="U383" s="1" t="b">
        <v>1</v>
      </c>
      <c r="V383" s="2">
        <v>45695</v>
      </c>
      <c r="W383" s="1" t="b">
        <v>1</v>
      </c>
      <c r="X383" s="2">
        <v>45698</v>
      </c>
      <c r="Y383" s="1">
        <v>87</v>
      </c>
      <c r="Z383" s="1">
        <v>93</v>
      </c>
      <c r="AA383" s="1">
        <v>90</v>
      </c>
      <c r="AB383" s="1" t="b">
        <v>1</v>
      </c>
      <c r="AC383" s="2">
        <v>45699</v>
      </c>
      <c r="AD383" s="1" t="b">
        <v>1</v>
      </c>
      <c r="AE383" s="2">
        <v>45711</v>
      </c>
      <c r="AF383" s="1" t="s">
        <v>134</v>
      </c>
      <c r="AH383" s="1">
        <v>31</v>
      </c>
      <c r="AI383" s="1" t="s">
        <v>118</v>
      </c>
    </row>
    <row r="384" spans="1:35" ht="12.5" hidden="1" x14ac:dyDescent="0.25">
      <c r="A384" s="1">
        <v>380</v>
      </c>
      <c r="B384" s="1" t="s">
        <v>1118</v>
      </c>
      <c r="C384" s="1" t="s">
        <v>1119</v>
      </c>
      <c r="D384" s="1" t="s">
        <v>560</v>
      </c>
      <c r="E384" s="1" t="s">
        <v>38</v>
      </c>
      <c r="F384" s="1" t="s">
        <v>39</v>
      </c>
      <c r="G384" s="1" t="s">
        <v>64</v>
      </c>
      <c r="H384" s="1" t="s">
        <v>88</v>
      </c>
      <c r="I384" s="1" t="s">
        <v>53</v>
      </c>
      <c r="J384" s="1">
        <v>3.1</v>
      </c>
      <c r="K384" s="1" t="s">
        <v>624</v>
      </c>
      <c r="L384" s="1" t="s">
        <v>114</v>
      </c>
      <c r="M384" s="1" t="s">
        <v>68</v>
      </c>
      <c r="N384" s="1" t="s">
        <v>46</v>
      </c>
      <c r="O384" s="2">
        <v>45764</v>
      </c>
      <c r="P384" s="2">
        <v>45768</v>
      </c>
      <c r="Q384" s="1" t="b">
        <v>1</v>
      </c>
      <c r="R384" s="1">
        <v>10</v>
      </c>
      <c r="S384" s="1" t="b">
        <v>1</v>
      </c>
      <c r="T384" s="2">
        <v>45771</v>
      </c>
      <c r="U384" s="1" t="b">
        <v>0</v>
      </c>
      <c r="W384" s="1" t="b">
        <v>0</v>
      </c>
      <c r="Y384" s="1">
        <v>80</v>
      </c>
      <c r="Z384" s="1">
        <v>61</v>
      </c>
      <c r="AA384" s="1">
        <v>70</v>
      </c>
      <c r="AB384" s="1" t="b">
        <v>0</v>
      </c>
      <c r="AD384" s="1" t="b">
        <v>0</v>
      </c>
      <c r="AF384" s="1" t="s">
        <v>151</v>
      </c>
      <c r="AH384" s="1">
        <v>7</v>
      </c>
      <c r="AI384" s="1" t="s">
        <v>157</v>
      </c>
    </row>
    <row r="385" spans="1:35" ht="12.5" hidden="1" x14ac:dyDescent="0.25">
      <c r="A385" s="1">
        <v>381</v>
      </c>
      <c r="B385" s="1" t="s">
        <v>1120</v>
      </c>
      <c r="C385" s="1" t="s">
        <v>1121</v>
      </c>
      <c r="D385" s="1" t="s">
        <v>267</v>
      </c>
      <c r="E385" s="1" t="s">
        <v>102</v>
      </c>
      <c r="F385" s="1" t="s">
        <v>39</v>
      </c>
      <c r="G385" s="1" t="s">
        <v>97</v>
      </c>
      <c r="H385" s="1" t="s">
        <v>41</v>
      </c>
      <c r="I385" s="1" t="s">
        <v>42</v>
      </c>
      <c r="J385" s="1">
        <v>8.4</v>
      </c>
      <c r="K385" s="1" t="s">
        <v>250</v>
      </c>
      <c r="L385" s="1" t="s">
        <v>141</v>
      </c>
      <c r="M385" s="1" t="s">
        <v>56</v>
      </c>
      <c r="N385" s="1" t="s">
        <v>92</v>
      </c>
      <c r="O385" s="2">
        <v>45660</v>
      </c>
      <c r="P385" s="2">
        <v>45666</v>
      </c>
      <c r="Q385" s="1" t="b">
        <v>1</v>
      </c>
      <c r="R385" s="1">
        <v>4</v>
      </c>
      <c r="S385" s="1" t="b">
        <v>1</v>
      </c>
      <c r="T385" s="2">
        <v>45675</v>
      </c>
      <c r="U385" s="1" t="b">
        <v>1</v>
      </c>
      <c r="V385" s="2">
        <v>45685</v>
      </c>
      <c r="W385" s="1" t="b">
        <v>1</v>
      </c>
      <c r="X385" s="2">
        <v>45692</v>
      </c>
      <c r="Y385" s="1">
        <v>87</v>
      </c>
      <c r="Z385" s="1">
        <v>93</v>
      </c>
      <c r="AA385" s="1">
        <v>78</v>
      </c>
      <c r="AB385" s="1" t="b">
        <v>1</v>
      </c>
      <c r="AC385" s="2">
        <v>45699</v>
      </c>
      <c r="AD385" s="1" t="b">
        <v>1</v>
      </c>
      <c r="AE385" s="2">
        <v>45705</v>
      </c>
      <c r="AF385" s="1" t="s">
        <v>134</v>
      </c>
      <c r="AH385" s="1">
        <v>45</v>
      </c>
      <c r="AI385" s="1" t="s">
        <v>48</v>
      </c>
    </row>
    <row r="386" spans="1:35" ht="12.5" x14ac:dyDescent="0.25">
      <c r="A386" s="1">
        <v>382</v>
      </c>
      <c r="B386" s="1" t="s">
        <v>1122</v>
      </c>
      <c r="C386" s="1" t="s">
        <v>1123</v>
      </c>
      <c r="D386" s="1" t="s">
        <v>505</v>
      </c>
      <c r="E386" s="1" t="s">
        <v>52</v>
      </c>
      <c r="F386" s="1" t="s">
        <v>74</v>
      </c>
      <c r="G386" s="1" t="s">
        <v>40</v>
      </c>
      <c r="H386" s="1" t="s">
        <v>41</v>
      </c>
      <c r="I386" s="1" t="s">
        <v>53</v>
      </c>
      <c r="J386" s="1">
        <v>5.4</v>
      </c>
      <c r="K386" s="1" t="s">
        <v>791</v>
      </c>
      <c r="L386" s="1" t="s">
        <v>67</v>
      </c>
      <c r="M386" s="1" t="s">
        <v>146</v>
      </c>
      <c r="N386" s="1" t="s">
        <v>92</v>
      </c>
      <c r="O386" s="2">
        <v>45740</v>
      </c>
      <c r="P386" s="2">
        <v>45744</v>
      </c>
      <c r="Q386" s="1" t="b">
        <v>0</v>
      </c>
      <c r="S386" s="1" t="b">
        <v>0</v>
      </c>
      <c r="U386" s="1" t="b">
        <v>0</v>
      </c>
      <c r="W386" s="1" t="b">
        <v>0</v>
      </c>
      <c r="Y386" s="1">
        <v>74</v>
      </c>
      <c r="Z386" s="1">
        <v>78</v>
      </c>
      <c r="AA386" s="1">
        <v>77</v>
      </c>
      <c r="AB386" s="1" t="b">
        <v>0</v>
      </c>
      <c r="AD386" s="1" t="b">
        <v>0</v>
      </c>
      <c r="AF386" s="1" t="s">
        <v>77</v>
      </c>
      <c r="AG386" s="1" t="s">
        <v>69</v>
      </c>
      <c r="AH386" s="1">
        <v>4</v>
      </c>
      <c r="AI386" s="1" t="s">
        <v>118</v>
      </c>
    </row>
    <row r="387" spans="1:35" ht="12.5" hidden="1" x14ac:dyDescent="0.25">
      <c r="A387" s="1">
        <v>383</v>
      </c>
      <c r="B387" s="1" t="s">
        <v>1124</v>
      </c>
      <c r="C387" s="1" t="s">
        <v>1125</v>
      </c>
      <c r="D387" s="1" t="s">
        <v>87</v>
      </c>
      <c r="E387" s="1" t="s">
        <v>52</v>
      </c>
      <c r="F387" s="1" t="s">
        <v>63</v>
      </c>
      <c r="G387" s="1" t="s">
        <v>40</v>
      </c>
      <c r="H387" s="1" t="s">
        <v>41</v>
      </c>
      <c r="I387" s="1" t="s">
        <v>53</v>
      </c>
      <c r="J387" s="1">
        <v>5</v>
      </c>
      <c r="K387" s="1" t="s">
        <v>412</v>
      </c>
      <c r="L387" s="1" t="s">
        <v>67</v>
      </c>
      <c r="M387" s="1" t="s">
        <v>123</v>
      </c>
      <c r="N387" s="1" t="s">
        <v>46</v>
      </c>
      <c r="O387" s="2">
        <v>45685</v>
      </c>
      <c r="P387" s="2">
        <v>45690</v>
      </c>
      <c r="Q387" s="1" t="b">
        <v>1</v>
      </c>
      <c r="R387" s="1">
        <v>5</v>
      </c>
      <c r="S387" s="1" t="b">
        <v>1</v>
      </c>
      <c r="T387" s="2">
        <v>45700</v>
      </c>
      <c r="U387" s="1" t="b">
        <v>1</v>
      </c>
      <c r="V387" s="2">
        <v>45708</v>
      </c>
      <c r="W387" s="1" t="b">
        <v>1</v>
      </c>
      <c r="X387" s="2">
        <v>45718</v>
      </c>
      <c r="Y387" s="1">
        <v>83</v>
      </c>
      <c r="Z387" s="1">
        <v>76</v>
      </c>
      <c r="AA387" s="1">
        <v>72</v>
      </c>
      <c r="AB387" s="1" t="b">
        <v>1</v>
      </c>
      <c r="AC387" s="2">
        <v>45722</v>
      </c>
      <c r="AD387" s="1" t="b">
        <v>1</v>
      </c>
      <c r="AE387" s="2">
        <v>45734</v>
      </c>
      <c r="AF387" s="1" t="s">
        <v>134</v>
      </c>
      <c r="AH387" s="1">
        <v>49</v>
      </c>
      <c r="AI387" s="1" t="s">
        <v>58</v>
      </c>
    </row>
    <row r="388" spans="1:35" ht="12.5" hidden="1" x14ac:dyDescent="0.25">
      <c r="A388" s="1">
        <v>384</v>
      </c>
      <c r="B388" s="1" t="s">
        <v>1126</v>
      </c>
      <c r="C388" s="1" t="s">
        <v>1127</v>
      </c>
      <c r="D388" s="1" t="s">
        <v>195</v>
      </c>
      <c r="E388" s="1" t="s">
        <v>62</v>
      </c>
      <c r="F388" s="1" t="s">
        <v>39</v>
      </c>
      <c r="G388" s="1" t="s">
        <v>97</v>
      </c>
      <c r="H388" s="1" t="s">
        <v>88</v>
      </c>
      <c r="I388" s="1" t="s">
        <v>42</v>
      </c>
      <c r="J388" s="1">
        <v>7.6</v>
      </c>
      <c r="K388" s="1" t="s">
        <v>1033</v>
      </c>
      <c r="L388" s="1" t="s">
        <v>67</v>
      </c>
      <c r="M388" s="1" t="s">
        <v>45</v>
      </c>
      <c r="N388" s="1" t="s">
        <v>84</v>
      </c>
      <c r="O388" s="2">
        <v>45677</v>
      </c>
      <c r="P388" s="2">
        <v>45680</v>
      </c>
      <c r="Q388" s="1" t="b">
        <v>1</v>
      </c>
      <c r="R388" s="1">
        <v>1</v>
      </c>
      <c r="S388" s="1" t="b">
        <v>1</v>
      </c>
      <c r="T388" s="2">
        <v>45689</v>
      </c>
      <c r="U388" s="1" t="b">
        <v>1</v>
      </c>
      <c r="V388" s="2">
        <v>45702</v>
      </c>
      <c r="W388" s="1" t="b">
        <v>1</v>
      </c>
      <c r="X388" s="2">
        <v>45709</v>
      </c>
      <c r="Y388" s="1">
        <v>100</v>
      </c>
      <c r="Z388" s="1">
        <v>77</v>
      </c>
      <c r="AA388" s="1">
        <v>83</v>
      </c>
      <c r="AB388" s="1" t="b">
        <v>1</v>
      </c>
      <c r="AC388" s="2">
        <v>45716</v>
      </c>
      <c r="AD388" s="1" t="b">
        <v>1</v>
      </c>
      <c r="AE388" s="2">
        <v>45722</v>
      </c>
      <c r="AF388" s="1" t="s">
        <v>134</v>
      </c>
      <c r="AH388" s="1">
        <v>45</v>
      </c>
      <c r="AI388" s="1" t="s">
        <v>165</v>
      </c>
    </row>
    <row r="389" spans="1:35" ht="12.5" hidden="1" x14ac:dyDescent="0.25">
      <c r="A389" s="1">
        <v>385</v>
      </c>
      <c r="B389" s="1" t="s">
        <v>1128</v>
      </c>
      <c r="C389" s="1" t="s">
        <v>1129</v>
      </c>
      <c r="D389" s="1" t="s">
        <v>560</v>
      </c>
      <c r="E389" s="1" t="s">
        <v>52</v>
      </c>
      <c r="F389" s="1" t="s">
        <v>39</v>
      </c>
      <c r="G389" s="1" t="s">
        <v>112</v>
      </c>
      <c r="H389" s="1" t="s">
        <v>65</v>
      </c>
      <c r="I389" s="1" t="s">
        <v>103</v>
      </c>
      <c r="J389" s="1">
        <v>13.4</v>
      </c>
      <c r="K389" s="1" t="s">
        <v>778</v>
      </c>
      <c r="L389" s="1" t="s">
        <v>55</v>
      </c>
      <c r="M389" s="1" t="s">
        <v>123</v>
      </c>
      <c r="N389" s="1" t="s">
        <v>84</v>
      </c>
      <c r="O389" s="2">
        <v>45742</v>
      </c>
      <c r="P389" s="2">
        <v>45742</v>
      </c>
      <c r="Q389" s="1" t="b">
        <v>1</v>
      </c>
      <c r="R389" s="1">
        <v>10</v>
      </c>
      <c r="S389" s="1" t="b">
        <v>1</v>
      </c>
      <c r="T389" s="2">
        <v>45749</v>
      </c>
      <c r="U389" s="1" t="b">
        <v>1</v>
      </c>
      <c r="V389" s="2">
        <v>45762</v>
      </c>
      <c r="W389" s="1" t="b">
        <v>1</v>
      </c>
      <c r="X389" s="2">
        <v>45770</v>
      </c>
      <c r="Y389" s="1">
        <v>72</v>
      </c>
      <c r="Z389" s="1">
        <v>77</v>
      </c>
      <c r="AA389" s="1">
        <v>81</v>
      </c>
      <c r="AB389" s="1" t="b">
        <v>1</v>
      </c>
      <c r="AC389" s="2">
        <v>45775</v>
      </c>
      <c r="AD389" s="1" t="b">
        <v>1</v>
      </c>
      <c r="AE389" s="2">
        <v>45787</v>
      </c>
      <c r="AF389" s="1" t="s">
        <v>134</v>
      </c>
      <c r="AH389" s="1">
        <v>45</v>
      </c>
      <c r="AI389" s="1" t="s">
        <v>135</v>
      </c>
    </row>
    <row r="390" spans="1:35" ht="12.5" hidden="1" x14ac:dyDescent="0.25">
      <c r="A390" s="1">
        <v>386</v>
      </c>
      <c r="B390" s="1" t="s">
        <v>1130</v>
      </c>
      <c r="C390" s="1" t="s">
        <v>1131</v>
      </c>
      <c r="D390" s="1" t="s">
        <v>580</v>
      </c>
      <c r="E390" s="1" t="s">
        <v>62</v>
      </c>
      <c r="F390" s="1" t="s">
        <v>111</v>
      </c>
      <c r="G390" s="1" t="s">
        <v>64</v>
      </c>
      <c r="H390" s="1" t="s">
        <v>41</v>
      </c>
      <c r="I390" s="1" t="s">
        <v>103</v>
      </c>
      <c r="J390" s="1">
        <v>11.1</v>
      </c>
      <c r="K390" s="1" t="s">
        <v>394</v>
      </c>
      <c r="L390" s="1" t="s">
        <v>114</v>
      </c>
      <c r="M390" s="1" t="s">
        <v>146</v>
      </c>
      <c r="N390" s="1" t="s">
        <v>84</v>
      </c>
      <c r="O390" s="2">
        <v>45795</v>
      </c>
      <c r="P390" s="2">
        <v>45797</v>
      </c>
      <c r="Q390" s="1" t="b">
        <v>1</v>
      </c>
      <c r="R390" s="1">
        <v>5</v>
      </c>
      <c r="S390" s="1" t="b">
        <v>1</v>
      </c>
      <c r="T390" s="2">
        <v>45802</v>
      </c>
      <c r="U390" s="1" t="b">
        <v>1</v>
      </c>
      <c r="V390" s="2">
        <v>45814</v>
      </c>
      <c r="W390" s="1" t="b">
        <v>1</v>
      </c>
      <c r="X390" s="2">
        <v>45818</v>
      </c>
      <c r="Y390" s="1">
        <v>98</v>
      </c>
      <c r="Z390" s="1">
        <v>60</v>
      </c>
      <c r="AA390" s="1">
        <v>67</v>
      </c>
      <c r="AB390" s="1" t="b">
        <v>0</v>
      </c>
      <c r="AD390" s="1" t="b">
        <v>0</v>
      </c>
      <c r="AF390" s="1" t="s">
        <v>47</v>
      </c>
      <c r="AG390" s="1" t="s">
        <v>124</v>
      </c>
      <c r="AH390" s="1">
        <v>23</v>
      </c>
      <c r="AI390" s="1" t="s">
        <v>78</v>
      </c>
    </row>
    <row r="391" spans="1:35" ht="12.5" x14ac:dyDescent="0.25">
      <c r="A391" s="1">
        <v>387</v>
      </c>
      <c r="B391" s="1" t="s">
        <v>1132</v>
      </c>
      <c r="C391" s="1" t="s">
        <v>1133</v>
      </c>
      <c r="D391" s="1" t="s">
        <v>613</v>
      </c>
      <c r="E391" s="1" t="s">
        <v>62</v>
      </c>
      <c r="F391" s="1" t="s">
        <v>111</v>
      </c>
      <c r="G391" s="1" t="s">
        <v>139</v>
      </c>
      <c r="H391" s="1" t="s">
        <v>65</v>
      </c>
      <c r="I391" s="1" t="s">
        <v>103</v>
      </c>
      <c r="J391" s="1">
        <v>9.9</v>
      </c>
      <c r="K391" s="1" t="s">
        <v>678</v>
      </c>
      <c r="L391" s="1" t="s">
        <v>67</v>
      </c>
      <c r="M391" s="1" t="s">
        <v>68</v>
      </c>
      <c r="N391" s="1" t="s">
        <v>116</v>
      </c>
      <c r="O391" s="2">
        <v>45765</v>
      </c>
      <c r="P391" s="2">
        <v>45767</v>
      </c>
      <c r="Q391" s="1" t="b">
        <v>0</v>
      </c>
      <c r="S391" s="1" t="b">
        <v>0</v>
      </c>
      <c r="U391" s="1" t="b">
        <v>0</v>
      </c>
      <c r="W391" s="1" t="b">
        <v>0</v>
      </c>
      <c r="Y391" s="1">
        <v>69</v>
      </c>
      <c r="Z391" s="1">
        <v>92</v>
      </c>
      <c r="AA391" s="1">
        <v>79</v>
      </c>
      <c r="AB391" s="1" t="b">
        <v>0</v>
      </c>
      <c r="AD391" s="1" t="b">
        <v>0</v>
      </c>
      <c r="AF391" s="1" t="s">
        <v>77</v>
      </c>
      <c r="AG391" s="1" t="s">
        <v>69</v>
      </c>
      <c r="AH391" s="1">
        <v>2</v>
      </c>
      <c r="AI391" s="1" t="s">
        <v>118</v>
      </c>
    </row>
    <row r="392" spans="1:35" ht="12.5" x14ac:dyDescent="0.25">
      <c r="A392" s="1">
        <v>388</v>
      </c>
      <c r="B392" s="1" t="s">
        <v>1134</v>
      </c>
      <c r="C392" s="1" t="s">
        <v>1135</v>
      </c>
      <c r="D392" s="1" t="s">
        <v>241</v>
      </c>
      <c r="E392" s="1" t="s">
        <v>102</v>
      </c>
      <c r="F392" s="1" t="s">
        <v>63</v>
      </c>
      <c r="G392" s="1" t="s">
        <v>64</v>
      </c>
      <c r="H392" s="1" t="s">
        <v>65</v>
      </c>
      <c r="I392" s="1" t="s">
        <v>82</v>
      </c>
      <c r="J392" s="1">
        <v>1.3</v>
      </c>
      <c r="K392" s="1" t="s">
        <v>214</v>
      </c>
      <c r="L392" s="1" t="s">
        <v>114</v>
      </c>
      <c r="M392" s="1" t="s">
        <v>115</v>
      </c>
      <c r="N392" s="1" t="s">
        <v>92</v>
      </c>
      <c r="O392" s="2">
        <v>45680</v>
      </c>
      <c r="P392" s="2">
        <v>45683</v>
      </c>
      <c r="Q392" s="1" t="b">
        <v>0</v>
      </c>
      <c r="S392" s="1" t="b">
        <v>0</v>
      </c>
      <c r="U392" s="1" t="b">
        <v>0</v>
      </c>
      <c r="W392" s="1" t="b">
        <v>0</v>
      </c>
      <c r="Y392" s="1">
        <v>65</v>
      </c>
      <c r="Z392" s="1">
        <v>57</v>
      </c>
      <c r="AA392" s="1">
        <v>54</v>
      </c>
      <c r="AB392" s="1" t="b">
        <v>0</v>
      </c>
      <c r="AD392" s="1" t="b">
        <v>0</v>
      </c>
      <c r="AF392" s="1" t="s">
        <v>77</v>
      </c>
      <c r="AG392" s="1" t="s">
        <v>69</v>
      </c>
      <c r="AH392" s="1">
        <v>3</v>
      </c>
      <c r="AI392" s="1" t="s">
        <v>118</v>
      </c>
    </row>
    <row r="393" spans="1:35" ht="12.5" x14ac:dyDescent="0.25">
      <c r="A393" s="1">
        <v>389</v>
      </c>
      <c r="B393" s="1" t="s">
        <v>1136</v>
      </c>
      <c r="C393" s="1" t="s">
        <v>1137</v>
      </c>
      <c r="D393" s="1" t="s">
        <v>164</v>
      </c>
      <c r="E393" s="1" t="s">
        <v>52</v>
      </c>
      <c r="F393" s="1" t="s">
        <v>63</v>
      </c>
      <c r="G393" s="1" t="s">
        <v>64</v>
      </c>
      <c r="H393" s="1" t="s">
        <v>65</v>
      </c>
      <c r="I393" s="1" t="s">
        <v>53</v>
      </c>
      <c r="J393" s="1">
        <v>4</v>
      </c>
      <c r="K393" s="1" t="s">
        <v>319</v>
      </c>
      <c r="L393" s="1" t="s">
        <v>114</v>
      </c>
      <c r="M393" s="1" t="s">
        <v>68</v>
      </c>
      <c r="N393" s="1" t="s">
        <v>84</v>
      </c>
      <c r="O393" s="2">
        <v>45775</v>
      </c>
      <c r="P393" s="2">
        <v>45775</v>
      </c>
      <c r="Q393" s="1" t="b">
        <v>0</v>
      </c>
      <c r="S393" s="1" t="b">
        <v>0</v>
      </c>
      <c r="U393" s="1" t="b">
        <v>0</v>
      </c>
      <c r="W393" s="1" t="b">
        <v>0</v>
      </c>
      <c r="Y393" s="1">
        <v>71</v>
      </c>
      <c r="Z393" s="1">
        <v>74</v>
      </c>
      <c r="AA393" s="1">
        <v>73</v>
      </c>
      <c r="AB393" s="1" t="b">
        <v>0</v>
      </c>
      <c r="AD393" s="1" t="b">
        <v>0</v>
      </c>
      <c r="AF393" s="1" t="s">
        <v>77</v>
      </c>
      <c r="AG393" s="1" t="s">
        <v>69</v>
      </c>
      <c r="AH393" s="1">
        <v>0</v>
      </c>
      <c r="AI393" s="1" t="s">
        <v>58</v>
      </c>
    </row>
    <row r="394" spans="1:35" ht="12.5" x14ac:dyDescent="0.25">
      <c r="A394" s="1">
        <v>390</v>
      </c>
      <c r="B394" s="1" t="s">
        <v>1138</v>
      </c>
      <c r="C394" s="1" t="s">
        <v>1139</v>
      </c>
      <c r="D394" s="1" t="s">
        <v>213</v>
      </c>
      <c r="E394" s="1" t="s">
        <v>62</v>
      </c>
      <c r="F394" s="1" t="s">
        <v>74</v>
      </c>
      <c r="G394" s="1" t="s">
        <v>112</v>
      </c>
      <c r="H394" s="1" t="s">
        <v>65</v>
      </c>
      <c r="I394" s="1" t="s">
        <v>42</v>
      </c>
      <c r="J394" s="1">
        <v>9.3000000000000007</v>
      </c>
      <c r="K394" s="1" t="s">
        <v>546</v>
      </c>
      <c r="L394" s="1" t="s">
        <v>67</v>
      </c>
      <c r="M394" s="1" t="s">
        <v>45</v>
      </c>
      <c r="N394" s="1" t="s">
        <v>92</v>
      </c>
      <c r="O394" s="2">
        <v>45710</v>
      </c>
      <c r="P394" s="2">
        <v>45714</v>
      </c>
      <c r="Q394" s="1" t="b">
        <v>0</v>
      </c>
      <c r="S394" s="1" t="b">
        <v>0</v>
      </c>
      <c r="U394" s="1" t="b">
        <v>0</v>
      </c>
      <c r="W394" s="1" t="b">
        <v>0</v>
      </c>
      <c r="Y394" s="1">
        <v>80</v>
      </c>
      <c r="Z394" s="1">
        <v>61</v>
      </c>
      <c r="AA394" s="1">
        <v>79</v>
      </c>
      <c r="AB394" s="1" t="b">
        <v>0</v>
      </c>
      <c r="AD394" s="1" t="b">
        <v>0</v>
      </c>
      <c r="AF394" s="1" t="s">
        <v>77</v>
      </c>
      <c r="AG394" s="1" t="s">
        <v>69</v>
      </c>
      <c r="AH394" s="1">
        <v>4</v>
      </c>
      <c r="AI394" s="1" t="s">
        <v>215</v>
      </c>
    </row>
    <row r="395" spans="1:35" ht="12.5" hidden="1" x14ac:dyDescent="0.25">
      <c r="A395" s="1">
        <v>391</v>
      </c>
      <c r="B395" s="1" t="s">
        <v>1140</v>
      </c>
      <c r="C395" s="1" t="s">
        <v>1141</v>
      </c>
      <c r="D395" s="1" t="s">
        <v>329</v>
      </c>
      <c r="E395" s="1" t="s">
        <v>62</v>
      </c>
      <c r="F395" s="1" t="s">
        <v>74</v>
      </c>
      <c r="G395" s="1" t="s">
        <v>75</v>
      </c>
      <c r="H395" s="1" t="s">
        <v>88</v>
      </c>
      <c r="I395" s="1" t="s">
        <v>82</v>
      </c>
      <c r="J395" s="1">
        <v>3.4</v>
      </c>
      <c r="K395" s="1" t="s">
        <v>272</v>
      </c>
      <c r="L395" s="1" t="s">
        <v>44</v>
      </c>
      <c r="M395" s="1" t="s">
        <v>146</v>
      </c>
      <c r="N395" s="1" t="s">
        <v>116</v>
      </c>
      <c r="O395" s="2">
        <v>45695</v>
      </c>
      <c r="P395" s="2">
        <v>45696</v>
      </c>
      <c r="Q395" s="1" t="b">
        <v>1</v>
      </c>
      <c r="R395" s="1">
        <v>9</v>
      </c>
      <c r="S395" s="1" t="b">
        <v>1</v>
      </c>
      <c r="T395" s="2">
        <v>45699</v>
      </c>
      <c r="U395" s="1" t="b">
        <v>1</v>
      </c>
      <c r="V395" s="2">
        <v>45705</v>
      </c>
      <c r="W395" s="1" t="b">
        <v>1</v>
      </c>
      <c r="X395" s="2">
        <v>45709</v>
      </c>
      <c r="Y395" s="1">
        <v>73</v>
      </c>
      <c r="Z395" s="1">
        <v>63</v>
      </c>
      <c r="AA395" s="1">
        <v>81</v>
      </c>
      <c r="AB395" s="1" t="b">
        <v>0</v>
      </c>
      <c r="AD395" s="1" t="b">
        <v>0</v>
      </c>
      <c r="AF395" s="1" t="s">
        <v>47</v>
      </c>
      <c r="AG395" s="1" t="s">
        <v>287</v>
      </c>
      <c r="AH395" s="1">
        <v>14</v>
      </c>
      <c r="AI395" s="1" t="s">
        <v>157</v>
      </c>
    </row>
    <row r="396" spans="1:35" ht="12.5" x14ac:dyDescent="0.25">
      <c r="A396" s="1">
        <v>392</v>
      </c>
      <c r="B396" s="1" t="s">
        <v>1142</v>
      </c>
      <c r="C396" s="1" t="s">
        <v>1143</v>
      </c>
      <c r="D396" s="1" t="s">
        <v>371</v>
      </c>
      <c r="E396" s="1" t="s">
        <v>102</v>
      </c>
      <c r="F396" s="1" t="s">
        <v>39</v>
      </c>
      <c r="G396" s="1" t="s">
        <v>64</v>
      </c>
      <c r="H396" s="1" t="s">
        <v>88</v>
      </c>
      <c r="I396" s="1" t="s">
        <v>42</v>
      </c>
      <c r="J396" s="1">
        <v>7.2</v>
      </c>
      <c r="K396" s="1" t="s">
        <v>430</v>
      </c>
      <c r="L396" s="1" t="s">
        <v>44</v>
      </c>
      <c r="M396" s="1" t="s">
        <v>45</v>
      </c>
      <c r="N396" s="1" t="s">
        <v>84</v>
      </c>
      <c r="O396" s="2">
        <v>45802</v>
      </c>
      <c r="P396" s="2">
        <v>45807</v>
      </c>
      <c r="Q396" s="1" t="b">
        <v>0</v>
      </c>
      <c r="S396" s="1" t="b">
        <v>0</v>
      </c>
      <c r="U396" s="1" t="b">
        <v>0</v>
      </c>
      <c r="W396" s="1" t="b">
        <v>0</v>
      </c>
      <c r="Y396" s="1">
        <v>77</v>
      </c>
      <c r="Z396" s="1">
        <v>53</v>
      </c>
      <c r="AA396" s="1">
        <v>71</v>
      </c>
      <c r="AB396" s="1" t="b">
        <v>0</v>
      </c>
      <c r="AD396" s="1" t="b">
        <v>0</v>
      </c>
      <c r="AF396" s="1" t="s">
        <v>77</v>
      </c>
      <c r="AG396" s="1" t="s">
        <v>69</v>
      </c>
      <c r="AH396" s="1">
        <v>5</v>
      </c>
      <c r="AI396" s="1" t="s">
        <v>165</v>
      </c>
    </row>
    <row r="397" spans="1:35" ht="12.5" hidden="1" x14ac:dyDescent="0.25">
      <c r="A397" s="1">
        <v>393</v>
      </c>
      <c r="B397" s="1" t="s">
        <v>1144</v>
      </c>
      <c r="C397" s="1" t="s">
        <v>1145</v>
      </c>
      <c r="D397" s="1" t="s">
        <v>591</v>
      </c>
      <c r="E397" s="1" t="s">
        <v>38</v>
      </c>
      <c r="F397" s="1" t="s">
        <v>63</v>
      </c>
      <c r="G397" s="1" t="s">
        <v>75</v>
      </c>
      <c r="H397" s="1" t="s">
        <v>65</v>
      </c>
      <c r="I397" s="1" t="s">
        <v>42</v>
      </c>
      <c r="J397" s="1">
        <v>4.9000000000000004</v>
      </c>
      <c r="K397" s="1" t="s">
        <v>549</v>
      </c>
      <c r="L397" s="1" t="s">
        <v>141</v>
      </c>
      <c r="M397" s="1" t="s">
        <v>146</v>
      </c>
      <c r="N397" s="1" t="s">
        <v>84</v>
      </c>
      <c r="O397" s="2">
        <v>45747</v>
      </c>
      <c r="P397" s="2">
        <v>45749</v>
      </c>
      <c r="Q397" s="1" t="b">
        <v>1</v>
      </c>
      <c r="R397" s="1">
        <v>10</v>
      </c>
      <c r="S397" s="1" t="b">
        <v>1</v>
      </c>
      <c r="T397" s="2">
        <v>45753</v>
      </c>
      <c r="U397" s="1" t="b">
        <v>1</v>
      </c>
      <c r="V397" s="2">
        <v>45763</v>
      </c>
      <c r="W397" s="1" t="b">
        <v>0</v>
      </c>
      <c r="Y397" s="1">
        <v>76</v>
      </c>
      <c r="Z397" s="1">
        <v>67</v>
      </c>
      <c r="AA397" s="1">
        <v>67</v>
      </c>
      <c r="AB397" s="1" t="b">
        <v>0</v>
      </c>
      <c r="AD397" s="1" t="b">
        <v>0</v>
      </c>
      <c r="AF397" s="1" t="s">
        <v>105</v>
      </c>
      <c r="AH397" s="1">
        <v>16</v>
      </c>
      <c r="AI397" s="1" t="s">
        <v>78</v>
      </c>
    </row>
    <row r="398" spans="1:35" ht="12.5" hidden="1" x14ac:dyDescent="0.25">
      <c r="A398" s="1">
        <v>394</v>
      </c>
      <c r="B398" s="1" t="s">
        <v>1146</v>
      </c>
      <c r="C398" s="1" t="s">
        <v>1147</v>
      </c>
      <c r="D398" s="1" t="s">
        <v>275</v>
      </c>
      <c r="E398" s="1" t="s">
        <v>102</v>
      </c>
      <c r="F398" s="1" t="s">
        <v>74</v>
      </c>
      <c r="G398" s="1" t="s">
        <v>112</v>
      </c>
      <c r="H398" s="1" t="s">
        <v>65</v>
      </c>
      <c r="I398" s="1" t="s">
        <v>82</v>
      </c>
      <c r="J398" s="1">
        <v>0.1</v>
      </c>
      <c r="K398" s="1" t="s">
        <v>871</v>
      </c>
      <c r="L398" s="1" t="s">
        <v>55</v>
      </c>
      <c r="M398" s="1" t="s">
        <v>123</v>
      </c>
      <c r="N398" s="1" t="s">
        <v>46</v>
      </c>
      <c r="O398" s="2">
        <v>45662</v>
      </c>
      <c r="P398" s="2">
        <v>45670</v>
      </c>
      <c r="Q398" s="1" t="b">
        <v>1</v>
      </c>
      <c r="R398" s="1">
        <v>7</v>
      </c>
      <c r="S398" s="1" t="b">
        <v>1</v>
      </c>
      <c r="T398" s="2">
        <v>45672</v>
      </c>
      <c r="U398" s="1" t="b">
        <v>1</v>
      </c>
      <c r="V398" s="2">
        <v>45686</v>
      </c>
      <c r="W398" s="1" t="b">
        <v>0</v>
      </c>
      <c r="Y398" s="1">
        <v>70</v>
      </c>
      <c r="Z398" s="1">
        <v>65</v>
      </c>
      <c r="AA398" s="1">
        <v>56</v>
      </c>
      <c r="AB398" s="1" t="b">
        <v>0</v>
      </c>
      <c r="AD398" s="1" t="b">
        <v>0</v>
      </c>
      <c r="AF398" s="1" t="s">
        <v>105</v>
      </c>
      <c r="AH398" s="1">
        <v>24</v>
      </c>
      <c r="AI398" s="1" t="s">
        <v>58</v>
      </c>
    </row>
    <row r="399" spans="1:35" ht="12.5" hidden="1" x14ac:dyDescent="0.25">
      <c r="A399" s="1">
        <v>395</v>
      </c>
      <c r="B399" s="1" t="s">
        <v>1148</v>
      </c>
      <c r="C399" s="1" t="s">
        <v>1149</v>
      </c>
      <c r="D399" s="1" t="s">
        <v>344</v>
      </c>
      <c r="E399" s="1" t="s">
        <v>62</v>
      </c>
      <c r="F399" s="1" t="s">
        <v>74</v>
      </c>
      <c r="G399" s="1" t="s">
        <v>139</v>
      </c>
      <c r="H399" s="1" t="s">
        <v>41</v>
      </c>
      <c r="I399" s="1" t="s">
        <v>53</v>
      </c>
      <c r="J399" s="1">
        <v>4.4000000000000004</v>
      </c>
      <c r="K399" s="1" t="s">
        <v>1150</v>
      </c>
      <c r="L399" s="1" t="s">
        <v>141</v>
      </c>
      <c r="M399" s="1" t="s">
        <v>91</v>
      </c>
      <c r="N399" s="1" t="s">
        <v>92</v>
      </c>
      <c r="O399" s="2">
        <v>45658</v>
      </c>
      <c r="P399" s="2">
        <v>45660</v>
      </c>
      <c r="Q399" s="1" t="b">
        <v>1</v>
      </c>
      <c r="R399" s="1">
        <v>9</v>
      </c>
      <c r="S399" s="1" t="b">
        <v>1</v>
      </c>
      <c r="T399" s="2">
        <v>45668</v>
      </c>
      <c r="U399" s="1" t="b">
        <v>1</v>
      </c>
      <c r="V399" s="2">
        <v>45677</v>
      </c>
      <c r="W399" s="1" t="b">
        <v>1</v>
      </c>
      <c r="X399" s="2">
        <v>45681</v>
      </c>
      <c r="Y399" s="1">
        <v>95</v>
      </c>
      <c r="Z399" s="1">
        <v>89</v>
      </c>
      <c r="AA399" s="1">
        <v>90</v>
      </c>
      <c r="AB399" s="1" t="b">
        <v>1</v>
      </c>
      <c r="AC399" s="2">
        <v>45687</v>
      </c>
      <c r="AD399" s="1" t="b">
        <v>1</v>
      </c>
      <c r="AE399" s="2">
        <v>45696</v>
      </c>
      <c r="AF399" s="1" t="s">
        <v>134</v>
      </c>
      <c r="AH399" s="1">
        <v>38</v>
      </c>
      <c r="AI399" s="1" t="s">
        <v>165</v>
      </c>
    </row>
    <row r="400" spans="1:35" ht="12.5" hidden="1" x14ac:dyDescent="0.25">
      <c r="A400" s="1">
        <v>396</v>
      </c>
      <c r="B400" s="1" t="s">
        <v>1151</v>
      </c>
      <c r="C400" s="1" t="s">
        <v>1152</v>
      </c>
      <c r="D400" s="1" t="s">
        <v>367</v>
      </c>
      <c r="E400" s="1" t="s">
        <v>38</v>
      </c>
      <c r="F400" s="1" t="s">
        <v>39</v>
      </c>
      <c r="G400" s="1" t="s">
        <v>139</v>
      </c>
      <c r="H400" s="1" t="s">
        <v>88</v>
      </c>
      <c r="I400" s="1" t="s">
        <v>53</v>
      </c>
      <c r="J400" s="1">
        <v>4.0999999999999996</v>
      </c>
      <c r="K400" s="1" t="s">
        <v>764</v>
      </c>
      <c r="L400" s="1" t="s">
        <v>55</v>
      </c>
      <c r="M400" s="1" t="s">
        <v>115</v>
      </c>
      <c r="N400" s="1" t="s">
        <v>116</v>
      </c>
      <c r="O400" s="2">
        <v>45729</v>
      </c>
      <c r="P400" s="2">
        <v>45733</v>
      </c>
      <c r="Q400" s="1" t="b">
        <v>1</v>
      </c>
      <c r="R400" s="1">
        <v>11</v>
      </c>
      <c r="S400" s="1" t="b">
        <v>1</v>
      </c>
      <c r="T400" s="2">
        <v>45735</v>
      </c>
      <c r="U400" s="1" t="b">
        <v>1</v>
      </c>
      <c r="V400" s="2">
        <v>45746</v>
      </c>
      <c r="W400" s="1" t="b">
        <v>1</v>
      </c>
      <c r="X400" s="2">
        <v>45749</v>
      </c>
      <c r="Y400" s="1">
        <v>57</v>
      </c>
      <c r="Z400" s="1">
        <v>56</v>
      </c>
      <c r="AA400" s="1">
        <v>59</v>
      </c>
      <c r="AB400" s="1" t="b">
        <v>0</v>
      </c>
      <c r="AD400" s="1" t="b">
        <v>0</v>
      </c>
      <c r="AF400" s="1" t="s">
        <v>47</v>
      </c>
      <c r="AG400" s="1" t="s">
        <v>361</v>
      </c>
      <c r="AH400" s="1">
        <v>20</v>
      </c>
      <c r="AI400" s="1" t="s">
        <v>93</v>
      </c>
    </row>
    <row r="401" spans="1:35" ht="12.5" hidden="1" x14ac:dyDescent="0.25">
      <c r="A401" s="1">
        <v>397</v>
      </c>
      <c r="B401" s="1" t="s">
        <v>1153</v>
      </c>
      <c r="C401" s="1" t="s">
        <v>1154</v>
      </c>
      <c r="D401" s="1" t="s">
        <v>297</v>
      </c>
      <c r="E401" s="1" t="s">
        <v>62</v>
      </c>
      <c r="F401" s="1" t="s">
        <v>111</v>
      </c>
      <c r="G401" s="1" t="s">
        <v>112</v>
      </c>
      <c r="H401" s="1" t="s">
        <v>88</v>
      </c>
      <c r="I401" s="1" t="s">
        <v>53</v>
      </c>
      <c r="J401" s="1">
        <v>2.8</v>
      </c>
      <c r="K401" s="1" t="s">
        <v>927</v>
      </c>
      <c r="L401" s="1" t="s">
        <v>67</v>
      </c>
      <c r="M401" s="1" t="s">
        <v>115</v>
      </c>
      <c r="N401" s="1" t="s">
        <v>92</v>
      </c>
      <c r="O401" s="2">
        <v>45671</v>
      </c>
      <c r="P401" s="2">
        <v>45672</v>
      </c>
      <c r="Q401" s="1" t="b">
        <v>1</v>
      </c>
      <c r="R401" s="1">
        <v>12</v>
      </c>
      <c r="S401" s="1" t="b">
        <v>0</v>
      </c>
      <c r="U401" s="1" t="b">
        <v>0</v>
      </c>
      <c r="W401" s="1" t="b">
        <v>0</v>
      </c>
      <c r="Y401" s="1">
        <v>82</v>
      </c>
      <c r="Z401" s="1">
        <v>70</v>
      </c>
      <c r="AA401" s="1">
        <v>81</v>
      </c>
      <c r="AB401" s="1" t="b">
        <v>0</v>
      </c>
      <c r="AD401" s="1" t="b">
        <v>0</v>
      </c>
      <c r="AF401" s="1" t="s">
        <v>57</v>
      </c>
      <c r="AH401" s="1">
        <v>1</v>
      </c>
      <c r="AI401" s="1" t="s">
        <v>78</v>
      </c>
    </row>
    <row r="402" spans="1:35" ht="12.5" hidden="1" x14ac:dyDescent="0.25">
      <c r="A402" s="1">
        <v>398</v>
      </c>
      <c r="B402" s="1" t="s">
        <v>1155</v>
      </c>
      <c r="C402" s="1" t="s">
        <v>1156</v>
      </c>
      <c r="D402" s="1" t="s">
        <v>623</v>
      </c>
      <c r="E402" s="1" t="s">
        <v>38</v>
      </c>
      <c r="F402" s="1" t="s">
        <v>39</v>
      </c>
      <c r="G402" s="1" t="s">
        <v>75</v>
      </c>
      <c r="H402" s="1" t="s">
        <v>65</v>
      </c>
      <c r="I402" s="1" t="s">
        <v>42</v>
      </c>
      <c r="J402" s="1">
        <v>9.1</v>
      </c>
      <c r="K402" s="1" t="s">
        <v>1157</v>
      </c>
      <c r="L402" s="1" t="s">
        <v>44</v>
      </c>
      <c r="M402" s="1" t="s">
        <v>68</v>
      </c>
      <c r="N402" s="1" t="s">
        <v>116</v>
      </c>
      <c r="O402" s="2">
        <v>45700</v>
      </c>
      <c r="P402" s="2">
        <v>45700</v>
      </c>
      <c r="Q402" s="1" t="b">
        <v>1</v>
      </c>
      <c r="R402" s="1">
        <v>6</v>
      </c>
      <c r="S402" s="1" t="b">
        <v>1</v>
      </c>
      <c r="T402" s="2">
        <v>45703</v>
      </c>
      <c r="U402" s="1" t="b">
        <v>1</v>
      </c>
      <c r="V402" s="2">
        <v>45706</v>
      </c>
      <c r="W402" s="1" t="b">
        <v>0</v>
      </c>
      <c r="Y402" s="1">
        <v>68</v>
      </c>
      <c r="Z402" s="1">
        <v>75</v>
      </c>
      <c r="AA402" s="1">
        <v>62</v>
      </c>
      <c r="AB402" s="1" t="b">
        <v>0</v>
      </c>
      <c r="AD402" s="1" t="b">
        <v>0</v>
      </c>
      <c r="AF402" s="1" t="s">
        <v>105</v>
      </c>
      <c r="AH402" s="1">
        <v>6</v>
      </c>
      <c r="AI402" s="1" t="s">
        <v>215</v>
      </c>
    </row>
    <row r="403" spans="1:35" ht="12.5" hidden="1" x14ac:dyDescent="0.25">
      <c r="A403" s="1">
        <v>399</v>
      </c>
      <c r="B403" s="1" t="s">
        <v>1158</v>
      </c>
      <c r="C403" s="1" t="s">
        <v>1159</v>
      </c>
      <c r="D403" s="1" t="s">
        <v>505</v>
      </c>
      <c r="E403" s="1" t="s">
        <v>52</v>
      </c>
      <c r="F403" s="1" t="s">
        <v>63</v>
      </c>
      <c r="G403" s="1" t="s">
        <v>40</v>
      </c>
      <c r="H403" s="1" t="s">
        <v>65</v>
      </c>
      <c r="I403" s="1" t="s">
        <v>42</v>
      </c>
      <c r="J403" s="1">
        <v>8.1999999999999993</v>
      </c>
      <c r="K403" s="1" t="s">
        <v>561</v>
      </c>
      <c r="L403" s="1" t="s">
        <v>141</v>
      </c>
      <c r="M403" s="1" t="s">
        <v>146</v>
      </c>
      <c r="N403" s="1" t="s">
        <v>116</v>
      </c>
      <c r="O403" s="2">
        <v>45701</v>
      </c>
      <c r="P403" s="2">
        <v>45707</v>
      </c>
      <c r="Q403" s="1" t="b">
        <v>1</v>
      </c>
      <c r="R403" s="1">
        <v>10</v>
      </c>
      <c r="S403" s="1" t="b">
        <v>1</v>
      </c>
      <c r="T403" s="2">
        <v>45708</v>
      </c>
      <c r="U403" s="1" t="b">
        <v>1</v>
      </c>
      <c r="V403" s="2">
        <v>45713</v>
      </c>
      <c r="W403" s="1" t="b">
        <v>1</v>
      </c>
      <c r="X403" s="2">
        <v>45715</v>
      </c>
      <c r="Y403" s="1">
        <v>79</v>
      </c>
      <c r="Z403" s="1">
        <v>82</v>
      </c>
      <c r="AA403" s="1">
        <v>81</v>
      </c>
      <c r="AB403" s="1" t="b">
        <v>1</v>
      </c>
      <c r="AC403" s="2">
        <v>45722</v>
      </c>
      <c r="AD403" s="1" t="b">
        <v>0</v>
      </c>
      <c r="AF403" s="1" t="s">
        <v>316</v>
      </c>
      <c r="AH403" s="1">
        <v>21</v>
      </c>
      <c r="AI403" s="1" t="s">
        <v>48</v>
      </c>
    </row>
    <row r="404" spans="1:35" ht="12.5" hidden="1" x14ac:dyDescent="0.25">
      <c r="A404" s="1">
        <v>400</v>
      </c>
      <c r="B404" s="1" t="s">
        <v>1160</v>
      </c>
      <c r="C404" s="1" t="s">
        <v>1161</v>
      </c>
      <c r="D404" s="1" t="s">
        <v>267</v>
      </c>
      <c r="E404" s="1" t="s">
        <v>62</v>
      </c>
      <c r="F404" s="1" t="s">
        <v>111</v>
      </c>
      <c r="G404" s="1" t="s">
        <v>40</v>
      </c>
      <c r="H404" s="1" t="s">
        <v>41</v>
      </c>
      <c r="I404" s="1" t="s">
        <v>53</v>
      </c>
      <c r="J404" s="1">
        <v>5.0999999999999996</v>
      </c>
      <c r="K404" s="1" t="s">
        <v>985</v>
      </c>
      <c r="L404" s="1" t="s">
        <v>67</v>
      </c>
      <c r="M404" s="1" t="s">
        <v>129</v>
      </c>
      <c r="N404" s="1" t="s">
        <v>84</v>
      </c>
      <c r="O404" s="2">
        <v>45704</v>
      </c>
      <c r="P404" s="2">
        <v>45711</v>
      </c>
      <c r="Q404" s="1" t="b">
        <v>1</v>
      </c>
      <c r="R404" s="1">
        <v>0</v>
      </c>
      <c r="S404" s="1" t="b">
        <v>1</v>
      </c>
      <c r="T404" s="2">
        <v>45712</v>
      </c>
      <c r="U404" s="1" t="b">
        <v>1</v>
      </c>
      <c r="V404" s="2">
        <v>45724</v>
      </c>
      <c r="W404" s="1" t="b">
        <v>1</v>
      </c>
      <c r="X404" s="2">
        <v>45725</v>
      </c>
      <c r="Y404" s="1">
        <v>63</v>
      </c>
      <c r="Z404" s="1">
        <v>64</v>
      </c>
      <c r="AA404" s="1">
        <v>62</v>
      </c>
      <c r="AB404" s="1" t="b">
        <v>0</v>
      </c>
      <c r="AD404" s="1" t="b">
        <v>0</v>
      </c>
      <c r="AF404" s="1" t="s">
        <v>47</v>
      </c>
      <c r="AH404" s="1">
        <v>21</v>
      </c>
      <c r="AI404" s="1" t="s">
        <v>165</v>
      </c>
    </row>
    <row r="405" spans="1:35" ht="12.5" x14ac:dyDescent="0.25">
      <c r="A405" s="1">
        <v>401</v>
      </c>
      <c r="B405" s="1" t="s">
        <v>738</v>
      </c>
      <c r="C405" s="1" t="s">
        <v>1162</v>
      </c>
      <c r="D405" s="1" t="s">
        <v>564</v>
      </c>
      <c r="E405" s="1" t="s">
        <v>38</v>
      </c>
      <c r="F405" s="1" t="s">
        <v>74</v>
      </c>
      <c r="G405" s="1" t="s">
        <v>97</v>
      </c>
      <c r="H405" s="1" t="s">
        <v>88</v>
      </c>
      <c r="I405" s="1" t="s">
        <v>42</v>
      </c>
      <c r="J405" s="1">
        <v>3.7</v>
      </c>
      <c r="K405" s="1" t="s">
        <v>98</v>
      </c>
      <c r="L405" s="1" t="s">
        <v>141</v>
      </c>
      <c r="M405" s="1" t="s">
        <v>56</v>
      </c>
      <c r="N405" s="1" t="s">
        <v>116</v>
      </c>
      <c r="O405" s="2">
        <v>45739</v>
      </c>
      <c r="P405" s="2">
        <v>45744</v>
      </c>
      <c r="Q405" s="1" t="b">
        <v>0</v>
      </c>
      <c r="S405" s="1" t="b">
        <v>0</v>
      </c>
      <c r="U405" s="1" t="b">
        <v>0</v>
      </c>
      <c r="W405" s="1" t="b">
        <v>0</v>
      </c>
      <c r="Y405" s="1">
        <v>83</v>
      </c>
      <c r="Z405" s="1">
        <v>63</v>
      </c>
      <c r="AA405" s="1">
        <v>73</v>
      </c>
      <c r="AB405" s="1" t="b">
        <v>0</v>
      </c>
      <c r="AD405" s="1" t="b">
        <v>0</v>
      </c>
      <c r="AF405" s="1" t="s">
        <v>77</v>
      </c>
      <c r="AG405" s="1" t="s">
        <v>69</v>
      </c>
      <c r="AH405" s="1">
        <v>5</v>
      </c>
      <c r="AI405" s="1" t="s">
        <v>135</v>
      </c>
    </row>
    <row r="406" spans="1:35" ht="12.5" hidden="1" x14ac:dyDescent="0.25">
      <c r="A406" s="1">
        <v>402</v>
      </c>
      <c r="B406" s="1" t="s">
        <v>1163</v>
      </c>
      <c r="C406" s="1" t="s">
        <v>1164</v>
      </c>
      <c r="D406" s="1" t="s">
        <v>497</v>
      </c>
      <c r="E406" s="1" t="s">
        <v>38</v>
      </c>
      <c r="F406" s="1" t="s">
        <v>39</v>
      </c>
      <c r="G406" s="1" t="s">
        <v>40</v>
      </c>
      <c r="H406" s="1" t="s">
        <v>88</v>
      </c>
      <c r="I406" s="1" t="s">
        <v>82</v>
      </c>
      <c r="J406" s="1">
        <v>0</v>
      </c>
      <c r="K406" s="1" t="s">
        <v>730</v>
      </c>
      <c r="L406" s="1" t="s">
        <v>44</v>
      </c>
      <c r="M406" s="1" t="s">
        <v>123</v>
      </c>
      <c r="N406" s="1" t="s">
        <v>116</v>
      </c>
      <c r="O406" s="2">
        <v>45733</v>
      </c>
      <c r="P406" s="2">
        <v>45741</v>
      </c>
      <c r="Q406" s="1" t="b">
        <v>1</v>
      </c>
      <c r="R406" s="1">
        <v>3</v>
      </c>
      <c r="S406" s="1" t="b">
        <v>1</v>
      </c>
      <c r="T406" s="2">
        <v>45751</v>
      </c>
      <c r="U406" s="1" t="b">
        <v>1</v>
      </c>
      <c r="V406" s="2">
        <v>45754</v>
      </c>
      <c r="W406" s="1" t="b">
        <v>0</v>
      </c>
      <c r="Y406" s="1">
        <v>76</v>
      </c>
      <c r="Z406" s="1">
        <v>70</v>
      </c>
      <c r="AA406" s="1">
        <v>80</v>
      </c>
      <c r="AB406" s="1" t="b">
        <v>0</v>
      </c>
      <c r="AD406" s="1" t="b">
        <v>0</v>
      </c>
      <c r="AF406" s="1" t="s">
        <v>105</v>
      </c>
      <c r="AH406" s="1">
        <v>21</v>
      </c>
      <c r="AI406" s="1" t="s">
        <v>70</v>
      </c>
    </row>
    <row r="407" spans="1:35" ht="12.5" x14ac:dyDescent="0.25">
      <c r="A407" s="1">
        <v>403</v>
      </c>
      <c r="B407" s="1" t="s">
        <v>1165</v>
      </c>
      <c r="C407" s="1" t="s">
        <v>1166</v>
      </c>
      <c r="D407" s="1" t="s">
        <v>664</v>
      </c>
      <c r="E407" s="1" t="s">
        <v>62</v>
      </c>
      <c r="F407" s="1" t="s">
        <v>63</v>
      </c>
      <c r="G407" s="1" t="s">
        <v>75</v>
      </c>
      <c r="H407" s="1" t="s">
        <v>88</v>
      </c>
      <c r="I407" s="1" t="s">
        <v>103</v>
      </c>
      <c r="J407" s="1">
        <v>10.3</v>
      </c>
      <c r="K407" s="1" t="s">
        <v>294</v>
      </c>
      <c r="L407" s="1" t="s">
        <v>114</v>
      </c>
      <c r="M407" s="1" t="s">
        <v>115</v>
      </c>
      <c r="N407" s="1" t="s">
        <v>84</v>
      </c>
      <c r="O407" s="2">
        <v>45739</v>
      </c>
      <c r="P407" s="2">
        <v>45739</v>
      </c>
      <c r="Q407" s="1" t="b">
        <v>0</v>
      </c>
      <c r="S407" s="1" t="b">
        <v>0</v>
      </c>
      <c r="U407" s="1" t="b">
        <v>0</v>
      </c>
      <c r="W407" s="1" t="b">
        <v>0</v>
      </c>
      <c r="Y407" s="1">
        <v>73</v>
      </c>
      <c r="Z407" s="1">
        <v>84</v>
      </c>
      <c r="AA407" s="1">
        <v>77</v>
      </c>
      <c r="AB407" s="1" t="b">
        <v>0</v>
      </c>
      <c r="AD407" s="1" t="b">
        <v>0</v>
      </c>
      <c r="AF407" s="1" t="s">
        <v>77</v>
      </c>
      <c r="AG407" s="1" t="s">
        <v>69</v>
      </c>
      <c r="AH407" s="1">
        <v>0</v>
      </c>
      <c r="AI407" s="1" t="s">
        <v>58</v>
      </c>
    </row>
    <row r="408" spans="1:35" ht="12.5" hidden="1" x14ac:dyDescent="0.25">
      <c r="A408" s="1">
        <v>404</v>
      </c>
      <c r="B408" s="1" t="s">
        <v>1167</v>
      </c>
      <c r="C408" s="1" t="s">
        <v>1168</v>
      </c>
      <c r="D408" s="1" t="s">
        <v>73</v>
      </c>
      <c r="E408" s="1" t="s">
        <v>102</v>
      </c>
      <c r="F408" s="1" t="s">
        <v>74</v>
      </c>
      <c r="G408" s="1" t="s">
        <v>112</v>
      </c>
      <c r="H408" s="1" t="s">
        <v>41</v>
      </c>
      <c r="I408" s="1" t="s">
        <v>53</v>
      </c>
      <c r="J408" s="1">
        <v>5.4</v>
      </c>
      <c r="K408" s="1" t="s">
        <v>642</v>
      </c>
      <c r="L408" s="1" t="s">
        <v>114</v>
      </c>
      <c r="M408" s="1" t="s">
        <v>45</v>
      </c>
      <c r="N408" s="1" t="s">
        <v>92</v>
      </c>
      <c r="O408" s="2">
        <v>45756</v>
      </c>
      <c r="P408" s="2">
        <v>45760</v>
      </c>
      <c r="Q408" s="1" t="b">
        <v>1</v>
      </c>
      <c r="R408" s="1">
        <v>10</v>
      </c>
      <c r="S408" s="1" t="b">
        <v>0</v>
      </c>
      <c r="U408" s="1" t="b">
        <v>0</v>
      </c>
      <c r="W408" s="1" t="b">
        <v>0</v>
      </c>
      <c r="Y408" s="1">
        <v>90</v>
      </c>
      <c r="Z408" s="1">
        <v>85</v>
      </c>
      <c r="AA408" s="1">
        <v>81</v>
      </c>
      <c r="AB408" s="1" t="b">
        <v>0</v>
      </c>
      <c r="AD408" s="1" t="b">
        <v>0</v>
      </c>
      <c r="AF408" s="1" t="s">
        <v>57</v>
      </c>
      <c r="AG408" s="1" t="s">
        <v>207</v>
      </c>
      <c r="AH408" s="1">
        <v>4</v>
      </c>
      <c r="AI408" s="1" t="s">
        <v>48</v>
      </c>
    </row>
    <row r="409" spans="1:35" ht="12.5" hidden="1" x14ac:dyDescent="0.25">
      <c r="A409" s="1">
        <v>405</v>
      </c>
      <c r="B409" s="1" t="s">
        <v>1169</v>
      </c>
      <c r="C409" s="1" t="s">
        <v>1170</v>
      </c>
      <c r="D409" s="1" t="s">
        <v>564</v>
      </c>
      <c r="E409" s="1" t="s">
        <v>38</v>
      </c>
      <c r="F409" s="1" t="s">
        <v>39</v>
      </c>
      <c r="G409" s="1" t="s">
        <v>40</v>
      </c>
      <c r="H409" s="1" t="s">
        <v>88</v>
      </c>
      <c r="I409" s="1" t="s">
        <v>42</v>
      </c>
      <c r="J409" s="1">
        <v>8.1</v>
      </c>
      <c r="K409" s="1" t="s">
        <v>1171</v>
      </c>
      <c r="L409" s="1" t="s">
        <v>55</v>
      </c>
      <c r="M409" s="1" t="s">
        <v>56</v>
      </c>
      <c r="N409" s="1" t="s">
        <v>116</v>
      </c>
      <c r="O409" s="2">
        <v>45691</v>
      </c>
      <c r="P409" s="2">
        <v>45692</v>
      </c>
      <c r="Q409" s="1" t="b">
        <v>1</v>
      </c>
      <c r="R409" s="1">
        <v>10</v>
      </c>
      <c r="S409" s="1" t="b">
        <v>1</v>
      </c>
      <c r="T409" s="2">
        <v>45697</v>
      </c>
      <c r="U409" s="1" t="b">
        <v>1</v>
      </c>
      <c r="V409" s="2">
        <v>45699</v>
      </c>
      <c r="W409" s="1" t="b">
        <v>1</v>
      </c>
      <c r="X409" s="2">
        <v>45701</v>
      </c>
      <c r="Y409" s="1">
        <v>79</v>
      </c>
      <c r="Z409" s="1">
        <v>85</v>
      </c>
      <c r="AA409" s="1">
        <v>82</v>
      </c>
      <c r="AB409" s="1" t="b">
        <v>1</v>
      </c>
      <c r="AC409" s="2">
        <v>45704</v>
      </c>
      <c r="AD409" s="1" t="b">
        <v>0</v>
      </c>
      <c r="AF409" s="1" t="s">
        <v>316</v>
      </c>
      <c r="AH409" s="1">
        <v>13</v>
      </c>
      <c r="AI409" s="1" t="s">
        <v>165</v>
      </c>
    </row>
    <row r="410" spans="1:35" ht="12.5" x14ac:dyDescent="0.25">
      <c r="A410" s="1">
        <v>406</v>
      </c>
      <c r="B410" s="1" t="s">
        <v>1172</v>
      </c>
      <c r="C410" s="1" t="s">
        <v>1173</v>
      </c>
      <c r="D410" s="1" t="s">
        <v>144</v>
      </c>
      <c r="E410" s="1" t="s">
        <v>38</v>
      </c>
      <c r="F410" s="1" t="s">
        <v>63</v>
      </c>
      <c r="G410" s="1" t="s">
        <v>40</v>
      </c>
      <c r="H410" s="1" t="s">
        <v>65</v>
      </c>
      <c r="I410" s="1" t="s">
        <v>103</v>
      </c>
      <c r="J410" s="1">
        <v>11</v>
      </c>
      <c r="K410" s="1" t="s">
        <v>603</v>
      </c>
      <c r="L410" s="1" t="s">
        <v>90</v>
      </c>
      <c r="M410" s="1" t="s">
        <v>56</v>
      </c>
      <c r="N410" s="1" t="s">
        <v>46</v>
      </c>
      <c r="O410" s="2">
        <v>45737</v>
      </c>
      <c r="P410" s="2">
        <v>45738</v>
      </c>
      <c r="Q410" s="1" t="b">
        <v>0</v>
      </c>
      <c r="S410" s="1" t="b">
        <v>0</v>
      </c>
      <c r="U410" s="1" t="b">
        <v>0</v>
      </c>
      <c r="W410" s="1" t="b">
        <v>0</v>
      </c>
      <c r="Y410" s="1">
        <v>71</v>
      </c>
      <c r="Z410" s="1">
        <v>79</v>
      </c>
      <c r="AA410" s="1">
        <v>99</v>
      </c>
      <c r="AB410" s="1" t="b">
        <v>0</v>
      </c>
      <c r="AD410" s="1" t="b">
        <v>0</v>
      </c>
      <c r="AF410" s="1" t="s">
        <v>77</v>
      </c>
      <c r="AG410" s="1" t="s">
        <v>69</v>
      </c>
      <c r="AH410" s="1">
        <v>1</v>
      </c>
      <c r="AI410" s="1" t="s">
        <v>93</v>
      </c>
    </row>
    <row r="411" spans="1:35" ht="12.5" x14ac:dyDescent="0.25">
      <c r="A411" s="1">
        <v>407</v>
      </c>
      <c r="B411" s="1" t="s">
        <v>1174</v>
      </c>
      <c r="C411" s="1" t="s">
        <v>1175</v>
      </c>
      <c r="D411" s="1" t="s">
        <v>245</v>
      </c>
      <c r="E411" s="1" t="s">
        <v>62</v>
      </c>
      <c r="F411" s="1" t="s">
        <v>63</v>
      </c>
      <c r="G411" s="1" t="s">
        <v>40</v>
      </c>
      <c r="H411" s="1" t="s">
        <v>88</v>
      </c>
      <c r="I411" s="1" t="s">
        <v>53</v>
      </c>
      <c r="J411" s="1">
        <v>1.8</v>
      </c>
      <c r="K411" s="1" t="s">
        <v>145</v>
      </c>
      <c r="L411" s="1" t="s">
        <v>114</v>
      </c>
      <c r="M411" s="1" t="s">
        <v>91</v>
      </c>
      <c r="N411" s="1" t="s">
        <v>116</v>
      </c>
      <c r="O411" s="2">
        <v>45772</v>
      </c>
      <c r="P411" s="2">
        <v>45778</v>
      </c>
      <c r="Q411" s="1" t="b">
        <v>0</v>
      </c>
      <c r="S411" s="1" t="b">
        <v>0</v>
      </c>
      <c r="U411" s="1" t="b">
        <v>0</v>
      </c>
      <c r="W411" s="1" t="b">
        <v>0</v>
      </c>
      <c r="Y411" s="1">
        <v>94</v>
      </c>
      <c r="Z411" s="1">
        <v>59</v>
      </c>
      <c r="AA411" s="1">
        <v>73</v>
      </c>
      <c r="AB411" s="1" t="b">
        <v>0</v>
      </c>
      <c r="AD411" s="1" t="b">
        <v>0</v>
      </c>
      <c r="AF411" s="1" t="s">
        <v>77</v>
      </c>
      <c r="AG411" s="1" t="s">
        <v>69</v>
      </c>
      <c r="AH411" s="1">
        <v>6</v>
      </c>
      <c r="AI411" s="1" t="s">
        <v>70</v>
      </c>
    </row>
    <row r="412" spans="1:35" ht="12.5" hidden="1" x14ac:dyDescent="0.25">
      <c r="A412" s="1">
        <v>408</v>
      </c>
      <c r="B412" s="1" t="s">
        <v>1176</v>
      </c>
      <c r="C412" s="1" t="s">
        <v>1177</v>
      </c>
      <c r="D412" s="1" t="s">
        <v>564</v>
      </c>
      <c r="E412" s="1" t="s">
        <v>62</v>
      </c>
      <c r="F412" s="1" t="s">
        <v>111</v>
      </c>
      <c r="G412" s="1" t="s">
        <v>139</v>
      </c>
      <c r="H412" s="1" t="s">
        <v>88</v>
      </c>
      <c r="I412" s="1" t="s">
        <v>42</v>
      </c>
      <c r="J412" s="1">
        <v>8.3000000000000007</v>
      </c>
      <c r="K412" s="1" t="s">
        <v>446</v>
      </c>
      <c r="L412" s="1" t="s">
        <v>141</v>
      </c>
      <c r="M412" s="1" t="s">
        <v>123</v>
      </c>
      <c r="N412" s="1" t="s">
        <v>92</v>
      </c>
      <c r="O412" s="2">
        <v>45736</v>
      </c>
      <c r="P412" s="2">
        <v>45740</v>
      </c>
      <c r="Q412" s="1" t="b">
        <v>1</v>
      </c>
      <c r="R412" s="1">
        <v>0</v>
      </c>
      <c r="S412" s="1" t="b">
        <v>1</v>
      </c>
      <c r="T412" s="2">
        <v>45750</v>
      </c>
      <c r="U412" s="1" t="b">
        <v>1</v>
      </c>
      <c r="V412" s="2">
        <v>45764</v>
      </c>
      <c r="W412" s="1" t="b">
        <v>1</v>
      </c>
      <c r="X412" s="2">
        <v>45769</v>
      </c>
      <c r="Y412" s="1">
        <v>89</v>
      </c>
      <c r="Z412" s="1">
        <v>100</v>
      </c>
      <c r="AA412" s="1">
        <v>95</v>
      </c>
      <c r="AB412" s="1" t="b">
        <v>0</v>
      </c>
      <c r="AD412" s="1" t="b">
        <v>0</v>
      </c>
      <c r="AF412" s="1" t="s">
        <v>47</v>
      </c>
      <c r="AG412" s="1" t="s">
        <v>287</v>
      </c>
      <c r="AH412" s="1">
        <v>33</v>
      </c>
      <c r="AI412" s="1" t="s">
        <v>48</v>
      </c>
    </row>
    <row r="413" spans="1:35" ht="12.5" hidden="1" x14ac:dyDescent="0.25">
      <c r="A413" s="1">
        <v>409</v>
      </c>
      <c r="B413" s="1" t="s">
        <v>1178</v>
      </c>
      <c r="C413" s="1" t="s">
        <v>1179</v>
      </c>
      <c r="D413" s="1" t="s">
        <v>613</v>
      </c>
      <c r="E413" s="1" t="s">
        <v>52</v>
      </c>
      <c r="F413" s="1" t="s">
        <v>74</v>
      </c>
      <c r="G413" s="1" t="s">
        <v>40</v>
      </c>
      <c r="H413" s="1" t="s">
        <v>41</v>
      </c>
      <c r="I413" s="1" t="s">
        <v>42</v>
      </c>
      <c r="J413" s="1">
        <v>6.7</v>
      </c>
      <c r="K413" s="1" t="s">
        <v>1180</v>
      </c>
      <c r="L413" s="1" t="s">
        <v>114</v>
      </c>
      <c r="M413" s="1" t="s">
        <v>68</v>
      </c>
      <c r="N413" s="1" t="s">
        <v>116</v>
      </c>
      <c r="O413" s="2">
        <v>45772</v>
      </c>
      <c r="P413" s="2">
        <v>45774</v>
      </c>
      <c r="Q413" s="1" t="b">
        <v>1</v>
      </c>
      <c r="R413" s="1">
        <v>8</v>
      </c>
      <c r="S413" s="1" t="b">
        <v>0</v>
      </c>
      <c r="U413" s="1" t="b">
        <v>0</v>
      </c>
      <c r="W413" s="1" t="b">
        <v>0</v>
      </c>
      <c r="Y413" s="1">
        <v>95</v>
      </c>
      <c r="Z413" s="1">
        <v>72</v>
      </c>
      <c r="AA413" s="1">
        <v>100</v>
      </c>
      <c r="AB413" s="1" t="b">
        <v>0</v>
      </c>
      <c r="AD413" s="1" t="b">
        <v>0</v>
      </c>
      <c r="AF413" s="1" t="s">
        <v>57</v>
      </c>
      <c r="AG413" s="1" t="s">
        <v>207</v>
      </c>
      <c r="AH413" s="1">
        <v>2</v>
      </c>
      <c r="AI413" s="1" t="s">
        <v>157</v>
      </c>
    </row>
    <row r="414" spans="1:35" ht="12.5" hidden="1" x14ac:dyDescent="0.25">
      <c r="A414" s="1">
        <v>410</v>
      </c>
      <c r="B414" s="1" t="s">
        <v>1181</v>
      </c>
      <c r="C414" s="1" t="s">
        <v>1182</v>
      </c>
      <c r="D414" s="1" t="s">
        <v>237</v>
      </c>
      <c r="E414" s="1" t="s">
        <v>38</v>
      </c>
      <c r="F414" s="1" t="s">
        <v>111</v>
      </c>
      <c r="G414" s="1" t="s">
        <v>139</v>
      </c>
      <c r="H414" s="1" t="s">
        <v>88</v>
      </c>
      <c r="I414" s="1" t="s">
        <v>42</v>
      </c>
      <c r="J414" s="1">
        <v>6.7</v>
      </c>
      <c r="K414" s="1" t="s">
        <v>394</v>
      </c>
      <c r="L414" s="1" t="s">
        <v>90</v>
      </c>
      <c r="M414" s="1" t="s">
        <v>123</v>
      </c>
      <c r="N414" s="1" t="s">
        <v>116</v>
      </c>
      <c r="O414" s="2">
        <v>45722</v>
      </c>
      <c r="P414" s="2">
        <v>45723</v>
      </c>
      <c r="Q414" s="1" t="b">
        <v>1</v>
      </c>
      <c r="R414" s="1">
        <v>8</v>
      </c>
      <c r="S414" s="1" t="b">
        <v>0</v>
      </c>
      <c r="U414" s="1" t="b">
        <v>0</v>
      </c>
      <c r="W414" s="1" t="b">
        <v>0</v>
      </c>
      <c r="Y414" s="1">
        <v>96</v>
      </c>
      <c r="Z414" s="1">
        <v>72</v>
      </c>
      <c r="AA414" s="1">
        <v>75</v>
      </c>
      <c r="AB414" s="1" t="b">
        <v>0</v>
      </c>
      <c r="AD414" s="1" t="b">
        <v>0</v>
      </c>
      <c r="AF414" s="1" t="s">
        <v>57</v>
      </c>
      <c r="AH414" s="1">
        <v>1</v>
      </c>
      <c r="AI414" s="1" t="s">
        <v>215</v>
      </c>
    </row>
    <row r="415" spans="1:35" ht="12.5" hidden="1" x14ac:dyDescent="0.25">
      <c r="A415" s="1">
        <v>411</v>
      </c>
      <c r="B415" s="1" t="s">
        <v>1183</v>
      </c>
      <c r="C415" s="1" t="s">
        <v>1184</v>
      </c>
      <c r="D415" s="1" t="s">
        <v>326</v>
      </c>
      <c r="E415" s="1" t="s">
        <v>38</v>
      </c>
      <c r="F415" s="1" t="s">
        <v>63</v>
      </c>
      <c r="G415" s="1" t="s">
        <v>112</v>
      </c>
      <c r="H415" s="1" t="s">
        <v>65</v>
      </c>
      <c r="I415" s="1" t="s">
        <v>53</v>
      </c>
      <c r="J415" s="1">
        <v>5.0999999999999996</v>
      </c>
      <c r="K415" s="1" t="s">
        <v>90</v>
      </c>
      <c r="L415" s="1" t="s">
        <v>90</v>
      </c>
      <c r="M415" s="1" t="s">
        <v>146</v>
      </c>
      <c r="N415" s="1" t="s">
        <v>116</v>
      </c>
      <c r="O415" s="2">
        <v>45720</v>
      </c>
      <c r="P415" s="2">
        <v>45724</v>
      </c>
      <c r="Q415" s="1" t="b">
        <v>1</v>
      </c>
      <c r="R415" s="1">
        <v>10</v>
      </c>
      <c r="S415" s="1" t="b">
        <v>0</v>
      </c>
      <c r="U415" s="1" t="b">
        <v>0</v>
      </c>
      <c r="W415" s="1" t="b">
        <v>0</v>
      </c>
      <c r="Y415" s="1">
        <v>72</v>
      </c>
      <c r="Z415" s="1">
        <v>63</v>
      </c>
      <c r="AA415" s="1">
        <v>70</v>
      </c>
      <c r="AB415" s="1" t="b">
        <v>0</v>
      </c>
      <c r="AD415" s="1" t="b">
        <v>0</v>
      </c>
      <c r="AF415" s="1" t="s">
        <v>57</v>
      </c>
      <c r="AH415" s="1">
        <v>4</v>
      </c>
      <c r="AI415" s="1" t="s">
        <v>78</v>
      </c>
    </row>
    <row r="416" spans="1:35" ht="12.5" hidden="1" x14ac:dyDescent="0.25">
      <c r="A416" s="1">
        <v>412</v>
      </c>
      <c r="B416" s="1" t="s">
        <v>1185</v>
      </c>
      <c r="C416" s="1" t="s">
        <v>1186</v>
      </c>
      <c r="D416" s="1" t="s">
        <v>81</v>
      </c>
      <c r="E416" s="1" t="s">
        <v>62</v>
      </c>
      <c r="F416" s="1" t="s">
        <v>111</v>
      </c>
      <c r="G416" s="1" t="s">
        <v>64</v>
      </c>
      <c r="H416" s="1" t="s">
        <v>65</v>
      </c>
      <c r="I416" s="1" t="s">
        <v>82</v>
      </c>
      <c r="J416" s="1">
        <v>0.5</v>
      </c>
      <c r="K416" s="1" t="s">
        <v>250</v>
      </c>
      <c r="L416" s="1" t="s">
        <v>67</v>
      </c>
      <c r="M416" s="1" t="s">
        <v>115</v>
      </c>
      <c r="N416" s="1" t="s">
        <v>84</v>
      </c>
      <c r="O416" s="2">
        <v>45669</v>
      </c>
      <c r="P416" s="2">
        <v>45669</v>
      </c>
      <c r="Q416" s="1" t="b">
        <v>1</v>
      </c>
      <c r="R416" s="1">
        <v>7</v>
      </c>
      <c r="S416" s="1" t="b">
        <v>1</v>
      </c>
      <c r="T416" s="2">
        <v>45675</v>
      </c>
      <c r="U416" s="1" t="b">
        <v>1</v>
      </c>
      <c r="V416" s="2">
        <v>45683</v>
      </c>
      <c r="W416" s="1" t="b">
        <v>1</v>
      </c>
      <c r="X416" s="2">
        <v>45689</v>
      </c>
      <c r="Y416" s="1">
        <v>49</v>
      </c>
      <c r="Z416" s="1">
        <v>75</v>
      </c>
      <c r="AA416" s="1">
        <v>67</v>
      </c>
      <c r="AB416" s="1" t="b">
        <v>0</v>
      </c>
      <c r="AD416" s="1" t="b">
        <v>0</v>
      </c>
      <c r="AF416" s="1" t="s">
        <v>47</v>
      </c>
      <c r="AH416" s="1">
        <v>20</v>
      </c>
      <c r="AI416" s="1" t="s">
        <v>48</v>
      </c>
    </row>
    <row r="417" spans="1:35" ht="12.5" x14ac:dyDescent="0.25">
      <c r="A417" s="1">
        <v>413</v>
      </c>
      <c r="B417" s="1" t="s">
        <v>1187</v>
      </c>
      <c r="C417" s="1" t="s">
        <v>1188</v>
      </c>
      <c r="D417" s="1" t="s">
        <v>483</v>
      </c>
      <c r="E417" s="1" t="s">
        <v>102</v>
      </c>
      <c r="F417" s="1" t="s">
        <v>39</v>
      </c>
      <c r="G417" s="1" t="s">
        <v>139</v>
      </c>
      <c r="H417" s="1" t="s">
        <v>65</v>
      </c>
      <c r="I417" s="1" t="s">
        <v>53</v>
      </c>
      <c r="J417" s="1">
        <v>3</v>
      </c>
      <c r="K417" s="1" t="s">
        <v>706</v>
      </c>
      <c r="L417" s="1" t="s">
        <v>55</v>
      </c>
      <c r="M417" s="1" t="s">
        <v>45</v>
      </c>
      <c r="N417" s="1" t="s">
        <v>92</v>
      </c>
      <c r="O417" s="2">
        <v>45733</v>
      </c>
      <c r="P417" s="2">
        <v>45734</v>
      </c>
      <c r="Q417" s="1" t="b">
        <v>0</v>
      </c>
      <c r="S417" s="1" t="b">
        <v>0</v>
      </c>
      <c r="U417" s="1" t="b">
        <v>0</v>
      </c>
      <c r="W417" s="1" t="b">
        <v>0</v>
      </c>
      <c r="Y417" s="1">
        <v>78</v>
      </c>
      <c r="Z417" s="1">
        <v>63</v>
      </c>
      <c r="AA417" s="1">
        <v>67</v>
      </c>
      <c r="AB417" s="1" t="b">
        <v>0</v>
      </c>
      <c r="AD417" s="1" t="b">
        <v>0</v>
      </c>
      <c r="AF417" s="1" t="s">
        <v>77</v>
      </c>
      <c r="AG417" s="1" t="s">
        <v>69</v>
      </c>
      <c r="AH417" s="1">
        <v>1</v>
      </c>
      <c r="AI417" s="1" t="s">
        <v>48</v>
      </c>
    </row>
    <row r="418" spans="1:35" ht="12.5" hidden="1" x14ac:dyDescent="0.25">
      <c r="A418" s="1">
        <v>414</v>
      </c>
      <c r="B418" s="1" t="s">
        <v>1189</v>
      </c>
      <c r="C418" s="1" t="s">
        <v>1190</v>
      </c>
      <c r="D418" s="1" t="s">
        <v>229</v>
      </c>
      <c r="E418" s="1" t="s">
        <v>62</v>
      </c>
      <c r="F418" s="1" t="s">
        <v>111</v>
      </c>
      <c r="G418" s="1" t="s">
        <v>139</v>
      </c>
      <c r="H418" s="1" t="s">
        <v>65</v>
      </c>
      <c r="I418" s="1" t="s">
        <v>42</v>
      </c>
      <c r="J418" s="1">
        <v>5.9</v>
      </c>
      <c r="K418" s="1" t="s">
        <v>799</v>
      </c>
      <c r="L418" s="1" t="s">
        <v>141</v>
      </c>
      <c r="M418" s="1" t="s">
        <v>68</v>
      </c>
      <c r="N418" s="1" t="s">
        <v>92</v>
      </c>
      <c r="O418" s="2">
        <v>45707</v>
      </c>
      <c r="P418" s="2">
        <v>45717</v>
      </c>
      <c r="Q418" s="1" t="b">
        <v>1</v>
      </c>
      <c r="R418" s="1">
        <v>1</v>
      </c>
      <c r="S418" s="1" t="b">
        <v>0</v>
      </c>
      <c r="U418" s="1" t="b">
        <v>0</v>
      </c>
      <c r="W418" s="1" t="b">
        <v>0</v>
      </c>
      <c r="Y418" s="1">
        <v>69</v>
      </c>
      <c r="Z418" s="1">
        <v>77</v>
      </c>
      <c r="AA418" s="1">
        <v>76</v>
      </c>
      <c r="AB418" s="1" t="b">
        <v>0</v>
      </c>
      <c r="AD418" s="1" t="b">
        <v>0</v>
      </c>
      <c r="AF418" s="1" t="s">
        <v>57</v>
      </c>
      <c r="AH418" s="1">
        <v>10</v>
      </c>
      <c r="AI418" s="1" t="s">
        <v>58</v>
      </c>
    </row>
    <row r="419" spans="1:35" ht="12.5" hidden="1" x14ac:dyDescent="0.25">
      <c r="A419" s="1">
        <v>415</v>
      </c>
      <c r="B419" s="1" t="s">
        <v>1191</v>
      </c>
      <c r="C419" s="1" t="s">
        <v>1192</v>
      </c>
      <c r="D419" s="1" t="s">
        <v>267</v>
      </c>
      <c r="E419" s="1" t="s">
        <v>62</v>
      </c>
      <c r="F419" s="1" t="s">
        <v>74</v>
      </c>
      <c r="G419" s="1" t="s">
        <v>75</v>
      </c>
      <c r="H419" s="1" t="s">
        <v>41</v>
      </c>
      <c r="I419" s="1" t="s">
        <v>82</v>
      </c>
      <c r="J419" s="1">
        <v>3.6</v>
      </c>
      <c r="K419" s="1" t="s">
        <v>341</v>
      </c>
      <c r="L419" s="1" t="s">
        <v>44</v>
      </c>
      <c r="M419" s="1" t="s">
        <v>56</v>
      </c>
      <c r="N419" s="1" t="s">
        <v>116</v>
      </c>
      <c r="O419" s="2">
        <v>45728</v>
      </c>
      <c r="P419" s="2">
        <v>45731</v>
      </c>
      <c r="Q419" s="1" t="b">
        <v>1</v>
      </c>
      <c r="R419" s="1">
        <v>4</v>
      </c>
      <c r="S419" s="1" t="b">
        <v>1</v>
      </c>
      <c r="T419" s="2">
        <v>45735</v>
      </c>
      <c r="U419" s="1" t="b">
        <v>0</v>
      </c>
      <c r="W419" s="1" t="b">
        <v>0</v>
      </c>
      <c r="Y419" s="1">
        <v>82</v>
      </c>
      <c r="Z419" s="1">
        <v>76</v>
      </c>
      <c r="AA419" s="1">
        <v>80</v>
      </c>
      <c r="AB419" s="1" t="b">
        <v>0</v>
      </c>
      <c r="AD419" s="1" t="b">
        <v>0</v>
      </c>
      <c r="AF419" s="1" t="s">
        <v>151</v>
      </c>
      <c r="AG419" s="1" t="s">
        <v>152</v>
      </c>
      <c r="AH419" s="1">
        <v>7</v>
      </c>
      <c r="AI419" s="1" t="s">
        <v>70</v>
      </c>
    </row>
    <row r="420" spans="1:35" ht="12.5" hidden="1" x14ac:dyDescent="0.25">
      <c r="A420" s="1">
        <v>416</v>
      </c>
      <c r="B420" s="1" t="s">
        <v>1193</v>
      </c>
      <c r="C420" s="1" t="s">
        <v>1194</v>
      </c>
      <c r="D420" s="1" t="s">
        <v>51</v>
      </c>
      <c r="E420" s="1" t="s">
        <v>102</v>
      </c>
      <c r="F420" s="1" t="s">
        <v>74</v>
      </c>
      <c r="G420" s="1" t="s">
        <v>75</v>
      </c>
      <c r="H420" s="1" t="s">
        <v>65</v>
      </c>
      <c r="I420" s="1" t="s">
        <v>53</v>
      </c>
      <c r="J420" s="1">
        <v>3.7</v>
      </c>
      <c r="K420" s="1" t="s">
        <v>323</v>
      </c>
      <c r="L420" s="1" t="s">
        <v>90</v>
      </c>
      <c r="M420" s="1" t="s">
        <v>91</v>
      </c>
      <c r="N420" s="1" t="s">
        <v>92</v>
      </c>
      <c r="O420" s="2">
        <v>45786</v>
      </c>
      <c r="P420" s="2">
        <v>45786</v>
      </c>
      <c r="Q420" s="1" t="b">
        <v>1</v>
      </c>
      <c r="R420" s="1">
        <v>3</v>
      </c>
      <c r="S420" s="1" t="b">
        <v>1</v>
      </c>
      <c r="T420" s="2">
        <v>45793</v>
      </c>
      <c r="U420" s="1" t="b">
        <v>0</v>
      </c>
      <c r="W420" s="1" t="b">
        <v>0</v>
      </c>
      <c r="Y420" s="1">
        <v>92</v>
      </c>
      <c r="Z420" s="1">
        <v>68</v>
      </c>
      <c r="AA420" s="1">
        <v>71</v>
      </c>
      <c r="AB420" s="1" t="b">
        <v>0</v>
      </c>
      <c r="AD420" s="1" t="b">
        <v>0</v>
      </c>
      <c r="AF420" s="1" t="s">
        <v>151</v>
      </c>
      <c r="AG420" s="1" t="s">
        <v>361</v>
      </c>
      <c r="AH420" s="1">
        <v>7</v>
      </c>
      <c r="AI420" s="1" t="s">
        <v>93</v>
      </c>
    </row>
    <row r="421" spans="1:35" ht="12.5" x14ac:dyDescent="0.25">
      <c r="A421" s="1">
        <v>417</v>
      </c>
      <c r="B421" s="1" t="s">
        <v>1195</v>
      </c>
      <c r="C421" s="1" t="s">
        <v>1196</v>
      </c>
      <c r="D421" s="1" t="s">
        <v>121</v>
      </c>
      <c r="E421" s="1" t="s">
        <v>102</v>
      </c>
      <c r="F421" s="1" t="s">
        <v>39</v>
      </c>
      <c r="G421" s="1" t="s">
        <v>40</v>
      </c>
      <c r="H421" s="1" t="s">
        <v>65</v>
      </c>
      <c r="I421" s="1" t="s">
        <v>53</v>
      </c>
      <c r="J421" s="1">
        <v>4.5999999999999996</v>
      </c>
      <c r="K421" s="1" t="s">
        <v>83</v>
      </c>
      <c r="L421" s="1" t="s">
        <v>141</v>
      </c>
      <c r="M421" s="1" t="s">
        <v>56</v>
      </c>
      <c r="N421" s="1" t="s">
        <v>92</v>
      </c>
      <c r="O421" s="2">
        <v>45750</v>
      </c>
      <c r="P421" s="2">
        <v>45754</v>
      </c>
      <c r="Q421" s="1" t="b">
        <v>0</v>
      </c>
      <c r="S421" s="1" t="b">
        <v>0</v>
      </c>
      <c r="U421" s="1" t="b">
        <v>0</v>
      </c>
      <c r="W421" s="1" t="b">
        <v>0</v>
      </c>
      <c r="Y421" s="1">
        <v>78</v>
      </c>
      <c r="Z421" s="1">
        <v>77</v>
      </c>
      <c r="AA421" s="1">
        <v>83</v>
      </c>
      <c r="AB421" s="1" t="b">
        <v>0</v>
      </c>
      <c r="AD421" s="1" t="b">
        <v>0</v>
      </c>
      <c r="AF421" s="1" t="s">
        <v>77</v>
      </c>
      <c r="AG421" s="1" t="s">
        <v>69</v>
      </c>
      <c r="AH421" s="1">
        <v>4</v>
      </c>
      <c r="AI421" s="1" t="s">
        <v>165</v>
      </c>
    </row>
    <row r="422" spans="1:35" ht="12.5" x14ac:dyDescent="0.25">
      <c r="A422" s="1">
        <v>418</v>
      </c>
      <c r="B422" s="1" t="s">
        <v>1197</v>
      </c>
      <c r="C422" s="1" t="s">
        <v>1198</v>
      </c>
      <c r="D422" s="1" t="s">
        <v>1199</v>
      </c>
      <c r="E422" s="1" t="s">
        <v>102</v>
      </c>
      <c r="F422" s="1" t="s">
        <v>74</v>
      </c>
      <c r="G422" s="1" t="s">
        <v>97</v>
      </c>
      <c r="H422" s="1" t="s">
        <v>65</v>
      </c>
      <c r="I422" s="1" t="s">
        <v>53</v>
      </c>
      <c r="J422" s="1">
        <v>2.4</v>
      </c>
      <c r="K422" s="1" t="s">
        <v>535</v>
      </c>
      <c r="L422" s="1" t="s">
        <v>114</v>
      </c>
      <c r="M422" s="1" t="s">
        <v>146</v>
      </c>
      <c r="N422" s="1" t="s">
        <v>46</v>
      </c>
      <c r="O422" s="2">
        <v>45691</v>
      </c>
      <c r="P422" s="2">
        <v>45692</v>
      </c>
      <c r="Q422" s="1" t="b">
        <v>0</v>
      </c>
      <c r="S422" s="1" t="b">
        <v>0</v>
      </c>
      <c r="U422" s="1" t="b">
        <v>0</v>
      </c>
      <c r="W422" s="1" t="b">
        <v>0</v>
      </c>
      <c r="Y422" s="1">
        <v>80</v>
      </c>
      <c r="Z422" s="1">
        <v>53</v>
      </c>
      <c r="AA422" s="1">
        <v>61</v>
      </c>
      <c r="AB422" s="1" t="b">
        <v>0</v>
      </c>
      <c r="AD422" s="1" t="b">
        <v>0</v>
      </c>
      <c r="AF422" s="1" t="s">
        <v>77</v>
      </c>
      <c r="AG422" s="1" t="s">
        <v>69</v>
      </c>
      <c r="AH422" s="1">
        <v>1</v>
      </c>
      <c r="AI422" s="1" t="s">
        <v>70</v>
      </c>
    </row>
    <row r="423" spans="1:35" ht="12.5" hidden="1" x14ac:dyDescent="0.25">
      <c r="A423" s="1">
        <v>419</v>
      </c>
      <c r="B423" s="1" t="s">
        <v>1200</v>
      </c>
      <c r="C423" s="1" t="s">
        <v>1201</v>
      </c>
      <c r="D423" s="1" t="s">
        <v>221</v>
      </c>
      <c r="E423" s="1" t="s">
        <v>62</v>
      </c>
      <c r="F423" s="1" t="s">
        <v>63</v>
      </c>
      <c r="G423" s="1" t="s">
        <v>40</v>
      </c>
      <c r="H423" s="1" t="s">
        <v>65</v>
      </c>
      <c r="I423" s="1" t="s">
        <v>103</v>
      </c>
      <c r="J423" s="1">
        <v>10.6</v>
      </c>
      <c r="K423" s="1" t="s">
        <v>246</v>
      </c>
      <c r="L423" s="1" t="s">
        <v>141</v>
      </c>
      <c r="M423" s="1" t="s">
        <v>56</v>
      </c>
      <c r="N423" s="1" t="s">
        <v>116</v>
      </c>
      <c r="O423" s="2">
        <v>45709</v>
      </c>
      <c r="P423" s="2">
        <v>45709</v>
      </c>
      <c r="Q423" s="1" t="b">
        <v>1</v>
      </c>
      <c r="R423" s="1">
        <v>7</v>
      </c>
      <c r="S423" s="1" t="b">
        <v>1</v>
      </c>
      <c r="T423" s="2">
        <v>45711</v>
      </c>
      <c r="U423" s="1" t="b">
        <v>1</v>
      </c>
      <c r="V423" s="2">
        <v>45713</v>
      </c>
      <c r="W423" s="1" t="b">
        <v>1</v>
      </c>
      <c r="X423" s="2">
        <v>45717</v>
      </c>
      <c r="Y423" s="1">
        <v>82</v>
      </c>
      <c r="Z423" s="1">
        <v>66</v>
      </c>
      <c r="AA423" s="1">
        <v>84</v>
      </c>
      <c r="AB423" s="1" t="b">
        <v>0</v>
      </c>
      <c r="AD423" s="1" t="b">
        <v>0</v>
      </c>
      <c r="AF423" s="1" t="s">
        <v>47</v>
      </c>
      <c r="AH423" s="1">
        <v>8</v>
      </c>
      <c r="AI423" s="1" t="s">
        <v>165</v>
      </c>
    </row>
    <row r="424" spans="1:35" ht="12.5" hidden="1" x14ac:dyDescent="0.25">
      <c r="A424" s="1">
        <v>420</v>
      </c>
      <c r="B424" s="1" t="s">
        <v>1202</v>
      </c>
      <c r="C424" s="1" t="s">
        <v>1203</v>
      </c>
      <c r="D424" s="1" t="s">
        <v>171</v>
      </c>
      <c r="E424" s="1" t="s">
        <v>62</v>
      </c>
      <c r="F424" s="1" t="s">
        <v>39</v>
      </c>
      <c r="G424" s="1" t="s">
        <v>75</v>
      </c>
      <c r="H424" s="1" t="s">
        <v>41</v>
      </c>
      <c r="I424" s="1" t="s">
        <v>53</v>
      </c>
      <c r="J424" s="1">
        <v>4.8</v>
      </c>
      <c r="K424" s="1" t="s">
        <v>443</v>
      </c>
      <c r="L424" s="1" t="s">
        <v>141</v>
      </c>
      <c r="M424" s="1" t="s">
        <v>91</v>
      </c>
      <c r="N424" s="1" t="s">
        <v>46</v>
      </c>
      <c r="O424" s="2">
        <v>45746</v>
      </c>
      <c r="P424" s="2">
        <v>45746</v>
      </c>
      <c r="Q424" s="1" t="b">
        <v>1</v>
      </c>
      <c r="R424" s="1">
        <v>10</v>
      </c>
      <c r="S424" s="1" t="b">
        <v>1</v>
      </c>
      <c r="T424" s="2">
        <v>45750</v>
      </c>
      <c r="U424" s="1" t="b">
        <v>1</v>
      </c>
      <c r="V424" s="2">
        <v>45754</v>
      </c>
      <c r="W424" s="1" t="b">
        <v>0</v>
      </c>
      <c r="Y424" s="1">
        <v>78</v>
      </c>
      <c r="Z424" s="1">
        <v>91</v>
      </c>
      <c r="AA424" s="1">
        <v>86</v>
      </c>
      <c r="AB424" s="1" t="b">
        <v>0</v>
      </c>
      <c r="AD424" s="1" t="b">
        <v>0</v>
      </c>
      <c r="AF424" s="1" t="s">
        <v>105</v>
      </c>
      <c r="AH424" s="1">
        <v>8</v>
      </c>
      <c r="AI424" s="1" t="s">
        <v>135</v>
      </c>
    </row>
    <row r="425" spans="1:35" ht="12.5" hidden="1" x14ac:dyDescent="0.25">
      <c r="A425" s="1">
        <v>421</v>
      </c>
      <c r="B425" s="1" t="s">
        <v>1204</v>
      </c>
      <c r="C425" s="1" t="s">
        <v>1205</v>
      </c>
      <c r="D425" s="1" t="s">
        <v>237</v>
      </c>
      <c r="E425" s="1" t="s">
        <v>102</v>
      </c>
      <c r="F425" s="1" t="s">
        <v>74</v>
      </c>
      <c r="G425" s="1" t="s">
        <v>40</v>
      </c>
      <c r="H425" s="1" t="s">
        <v>88</v>
      </c>
      <c r="I425" s="1" t="s">
        <v>82</v>
      </c>
      <c r="J425" s="1">
        <v>3.8</v>
      </c>
      <c r="K425" s="1" t="s">
        <v>83</v>
      </c>
      <c r="L425" s="1" t="s">
        <v>141</v>
      </c>
      <c r="M425" s="1" t="s">
        <v>68</v>
      </c>
      <c r="N425" s="1" t="s">
        <v>116</v>
      </c>
      <c r="O425" s="2">
        <v>45745</v>
      </c>
      <c r="P425" s="2">
        <v>45745</v>
      </c>
      <c r="Q425" s="1" t="b">
        <v>1</v>
      </c>
      <c r="R425" s="1">
        <v>6</v>
      </c>
      <c r="S425" s="1" t="b">
        <v>0</v>
      </c>
      <c r="U425" s="1" t="b">
        <v>0</v>
      </c>
      <c r="W425" s="1" t="b">
        <v>0</v>
      </c>
      <c r="Y425" s="1">
        <v>62</v>
      </c>
      <c r="Z425" s="1">
        <v>65</v>
      </c>
      <c r="AA425" s="1">
        <v>62</v>
      </c>
      <c r="AB425" s="1" t="b">
        <v>0</v>
      </c>
      <c r="AD425" s="1" t="b">
        <v>0</v>
      </c>
      <c r="AF425" s="1" t="s">
        <v>57</v>
      </c>
      <c r="AH425" s="1">
        <v>0</v>
      </c>
      <c r="AI425" s="1" t="s">
        <v>135</v>
      </c>
    </row>
    <row r="426" spans="1:35" ht="12.5" hidden="1" x14ac:dyDescent="0.25">
      <c r="A426" s="1">
        <v>422</v>
      </c>
      <c r="B426" s="1" t="s">
        <v>1206</v>
      </c>
      <c r="C426" s="1" t="s">
        <v>1207</v>
      </c>
      <c r="D426" s="1" t="s">
        <v>329</v>
      </c>
      <c r="E426" s="1" t="s">
        <v>62</v>
      </c>
      <c r="F426" s="1" t="s">
        <v>63</v>
      </c>
      <c r="G426" s="1" t="s">
        <v>40</v>
      </c>
      <c r="H426" s="1" t="s">
        <v>41</v>
      </c>
      <c r="I426" s="1" t="s">
        <v>103</v>
      </c>
      <c r="J426" s="1">
        <v>8.9</v>
      </c>
      <c r="K426" s="1" t="s">
        <v>764</v>
      </c>
      <c r="L426" s="1" t="s">
        <v>141</v>
      </c>
      <c r="M426" s="1" t="s">
        <v>91</v>
      </c>
      <c r="N426" s="1" t="s">
        <v>84</v>
      </c>
      <c r="O426" s="2">
        <v>45802</v>
      </c>
      <c r="P426" s="2">
        <v>45802</v>
      </c>
      <c r="Q426" s="1" t="b">
        <v>1</v>
      </c>
      <c r="R426" s="1">
        <v>3</v>
      </c>
      <c r="S426" s="1" t="b">
        <v>1</v>
      </c>
      <c r="T426" s="2">
        <v>45806</v>
      </c>
      <c r="U426" s="1" t="b">
        <v>0</v>
      </c>
      <c r="W426" s="1" t="b">
        <v>0</v>
      </c>
      <c r="Y426" s="1">
        <v>86</v>
      </c>
      <c r="Z426" s="1">
        <v>83</v>
      </c>
      <c r="AA426" s="1">
        <v>86</v>
      </c>
      <c r="AB426" s="1" t="b">
        <v>0</v>
      </c>
      <c r="AD426" s="1" t="b">
        <v>0</v>
      </c>
      <c r="AF426" s="1" t="s">
        <v>151</v>
      </c>
      <c r="AG426" s="1" t="s">
        <v>152</v>
      </c>
      <c r="AH426" s="1">
        <v>4</v>
      </c>
      <c r="AI426" s="1" t="s">
        <v>70</v>
      </c>
    </row>
    <row r="427" spans="1:35" ht="12.5" hidden="1" x14ac:dyDescent="0.25">
      <c r="A427" s="1">
        <v>423</v>
      </c>
      <c r="B427" s="1" t="s">
        <v>1208</v>
      </c>
      <c r="C427" s="1" t="s">
        <v>1209</v>
      </c>
      <c r="D427" s="1" t="s">
        <v>560</v>
      </c>
      <c r="E427" s="1" t="s">
        <v>62</v>
      </c>
      <c r="F427" s="1" t="s">
        <v>63</v>
      </c>
      <c r="G427" s="1" t="s">
        <v>112</v>
      </c>
      <c r="H427" s="1" t="s">
        <v>65</v>
      </c>
      <c r="I427" s="1" t="s">
        <v>53</v>
      </c>
      <c r="J427" s="1">
        <v>3.7</v>
      </c>
      <c r="K427" s="1" t="s">
        <v>624</v>
      </c>
      <c r="L427" s="1" t="s">
        <v>44</v>
      </c>
      <c r="M427" s="1" t="s">
        <v>123</v>
      </c>
      <c r="N427" s="1" t="s">
        <v>92</v>
      </c>
      <c r="O427" s="2">
        <v>45720</v>
      </c>
      <c r="P427" s="2">
        <v>45726</v>
      </c>
      <c r="Q427" s="1" t="b">
        <v>1</v>
      </c>
      <c r="R427" s="1">
        <v>9</v>
      </c>
      <c r="S427" s="1" t="b">
        <v>1</v>
      </c>
      <c r="T427" s="2">
        <v>45728</v>
      </c>
      <c r="U427" s="1" t="b">
        <v>0</v>
      </c>
      <c r="W427" s="1" t="b">
        <v>0</v>
      </c>
      <c r="Y427" s="1">
        <v>54</v>
      </c>
      <c r="Z427" s="1">
        <v>85</v>
      </c>
      <c r="AA427" s="1">
        <v>71</v>
      </c>
      <c r="AB427" s="1" t="b">
        <v>0</v>
      </c>
      <c r="AD427" s="1" t="b">
        <v>0</v>
      </c>
      <c r="AF427" s="1" t="s">
        <v>151</v>
      </c>
      <c r="AG427" s="1" t="s">
        <v>124</v>
      </c>
      <c r="AH427" s="1">
        <v>8</v>
      </c>
      <c r="AI427" s="1" t="s">
        <v>157</v>
      </c>
    </row>
    <row r="428" spans="1:35" ht="12.5" hidden="1" x14ac:dyDescent="0.25">
      <c r="A428" s="1">
        <v>424</v>
      </c>
      <c r="B428" s="1" t="s">
        <v>1210</v>
      </c>
      <c r="C428" s="1" t="s">
        <v>1211</v>
      </c>
      <c r="D428" s="1" t="s">
        <v>205</v>
      </c>
      <c r="E428" s="1" t="s">
        <v>62</v>
      </c>
      <c r="F428" s="1" t="s">
        <v>111</v>
      </c>
      <c r="G428" s="1" t="s">
        <v>64</v>
      </c>
      <c r="H428" s="1" t="s">
        <v>65</v>
      </c>
      <c r="I428" s="1" t="s">
        <v>42</v>
      </c>
      <c r="J428" s="1">
        <v>10.6</v>
      </c>
      <c r="K428" s="1" t="s">
        <v>1212</v>
      </c>
      <c r="L428" s="1" t="s">
        <v>55</v>
      </c>
      <c r="M428" s="1" t="s">
        <v>56</v>
      </c>
      <c r="N428" s="1" t="s">
        <v>84</v>
      </c>
      <c r="O428" s="2">
        <v>45690</v>
      </c>
      <c r="P428" s="2">
        <v>45690</v>
      </c>
      <c r="Q428" s="1" t="b">
        <v>1</v>
      </c>
      <c r="R428" s="1">
        <v>3</v>
      </c>
      <c r="S428" s="1" t="b">
        <v>1</v>
      </c>
      <c r="T428" s="2">
        <v>45696</v>
      </c>
      <c r="U428" s="1" t="b">
        <v>1</v>
      </c>
      <c r="V428" s="2">
        <v>45705</v>
      </c>
      <c r="W428" s="1" t="b">
        <v>1</v>
      </c>
      <c r="X428" s="2">
        <v>45709</v>
      </c>
      <c r="Y428" s="1">
        <v>78</v>
      </c>
      <c r="Z428" s="1">
        <v>77</v>
      </c>
      <c r="AA428" s="1">
        <v>74</v>
      </c>
      <c r="AB428" s="1" t="b">
        <v>0</v>
      </c>
      <c r="AD428" s="1" t="b">
        <v>0</v>
      </c>
      <c r="AF428" s="1" t="s">
        <v>47</v>
      </c>
      <c r="AG428" s="1" t="s">
        <v>117</v>
      </c>
      <c r="AH428" s="1">
        <v>19</v>
      </c>
      <c r="AI428" s="1" t="s">
        <v>93</v>
      </c>
    </row>
    <row r="429" spans="1:35" ht="12.5" hidden="1" x14ac:dyDescent="0.25">
      <c r="A429" s="1">
        <v>425</v>
      </c>
      <c r="B429" s="1" t="s">
        <v>1213</v>
      </c>
      <c r="C429" s="1" t="s">
        <v>1214</v>
      </c>
      <c r="D429" s="1" t="s">
        <v>326</v>
      </c>
      <c r="E429" s="1" t="s">
        <v>102</v>
      </c>
      <c r="F429" s="1" t="s">
        <v>63</v>
      </c>
      <c r="G429" s="1" t="s">
        <v>97</v>
      </c>
      <c r="H429" s="1" t="s">
        <v>41</v>
      </c>
      <c r="I429" s="1" t="s">
        <v>42</v>
      </c>
      <c r="J429" s="1">
        <v>8.3000000000000007</v>
      </c>
      <c r="K429" s="1" t="s">
        <v>839</v>
      </c>
      <c r="L429" s="1" t="s">
        <v>55</v>
      </c>
      <c r="M429" s="1" t="s">
        <v>45</v>
      </c>
      <c r="N429" s="1" t="s">
        <v>84</v>
      </c>
      <c r="O429" s="2">
        <v>45755</v>
      </c>
      <c r="P429" s="2">
        <v>45758</v>
      </c>
      <c r="Q429" s="1" t="b">
        <v>1</v>
      </c>
      <c r="R429" s="1">
        <v>6</v>
      </c>
      <c r="S429" s="1" t="b">
        <v>0</v>
      </c>
      <c r="U429" s="1" t="b">
        <v>0</v>
      </c>
      <c r="W429" s="1" t="b">
        <v>0</v>
      </c>
      <c r="Y429" s="1">
        <v>61</v>
      </c>
      <c r="Z429" s="1">
        <v>65</v>
      </c>
      <c r="AA429" s="1">
        <v>61</v>
      </c>
      <c r="AB429" s="1" t="b">
        <v>0</v>
      </c>
      <c r="AD429" s="1" t="b">
        <v>0</v>
      </c>
      <c r="AF429" s="1" t="s">
        <v>57</v>
      </c>
      <c r="AG429" s="1" t="s">
        <v>117</v>
      </c>
      <c r="AH429" s="1">
        <v>3</v>
      </c>
      <c r="AI429" s="1" t="s">
        <v>70</v>
      </c>
    </row>
    <row r="430" spans="1:35" ht="12.5" x14ac:dyDescent="0.25">
      <c r="A430" s="1">
        <v>426</v>
      </c>
      <c r="B430" s="1" t="s">
        <v>1215</v>
      </c>
      <c r="C430" s="1" t="s">
        <v>1216</v>
      </c>
      <c r="D430" s="1" t="s">
        <v>245</v>
      </c>
      <c r="E430" s="1" t="s">
        <v>102</v>
      </c>
      <c r="F430" s="1" t="s">
        <v>111</v>
      </c>
      <c r="G430" s="1" t="s">
        <v>75</v>
      </c>
      <c r="H430" s="1" t="s">
        <v>65</v>
      </c>
      <c r="I430" s="1" t="s">
        <v>42</v>
      </c>
      <c r="J430" s="1">
        <v>6.4</v>
      </c>
      <c r="K430" s="1" t="s">
        <v>104</v>
      </c>
      <c r="L430" s="1" t="s">
        <v>114</v>
      </c>
      <c r="M430" s="1" t="s">
        <v>123</v>
      </c>
      <c r="N430" s="1" t="s">
        <v>46</v>
      </c>
      <c r="O430" s="2">
        <v>45737</v>
      </c>
      <c r="P430" s="2">
        <v>45737</v>
      </c>
      <c r="Q430" s="1" t="b">
        <v>0</v>
      </c>
      <c r="S430" s="1" t="b">
        <v>0</v>
      </c>
      <c r="U430" s="1" t="b">
        <v>0</v>
      </c>
      <c r="W430" s="1" t="b">
        <v>0</v>
      </c>
      <c r="Y430" s="1">
        <v>100</v>
      </c>
      <c r="Z430" s="1">
        <v>67</v>
      </c>
      <c r="AA430" s="1">
        <v>86</v>
      </c>
      <c r="AB430" s="1" t="b">
        <v>0</v>
      </c>
      <c r="AD430" s="1" t="b">
        <v>0</v>
      </c>
      <c r="AF430" s="1" t="s">
        <v>77</v>
      </c>
      <c r="AG430" s="1" t="s">
        <v>69</v>
      </c>
      <c r="AH430" s="1">
        <v>0</v>
      </c>
      <c r="AI430" s="1" t="s">
        <v>93</v>
      </c>
    </row>
    <row r="431" spans="1:35" ht="12.5" hidden="1" x14ac:dyDescent="0.25">
      <c r="A431" s="1">
        <v>427</v>
      </c>
      <c r="B431" s="1" t="s">
        <v>1217</v>
      </c>
      <c r="C431" s="1" t="s">
        <v>1218</v>
      </c>
      <c r="D431" s="1" t="s">
        <v>221</v>
      </c>
      <c r="E431" s="1" t="s">
        <v>52</v>
      </c>
      <c r="F431" s="1" t="s">
        <v>63</v>
      </c>
      <c r="G431" s="1" t="s">
        <v>64</v>
      </c>
      <c r="H431" s="1" t="s">
        <v>41</v>
      </c>
      <c r="I431" s="1" t="s">
        <v>53</v>
      </c>
      <c r="J431" s="1">
        <v>3.6</v>
      </c>
      <c r="K431" s="1" t="s">
        <v>268</v>
      </c>
      <c r="L431" s="1" t="s">
        <v>114</v>
      </c>
      <c r="M431" s="1" t="s">
        <v>146</v>
      </c>
      <c r="N431" s="1" t="s">
        <v>84</v>
      </c>
      <c r="O431" s="2">
        <v>45753</v>
      </c>
      <c r="P431" s="2">
        <v>45760</v>
      </c>
      <c r="Q431" s="1" t="b">
        <v>1</v>
      </c>
      <c r="R431" s="1">
        <v>0</v>
      </c>
      <c r="S431" s="1" t="b">
        <v>1</v>
      </c>
      <c r="T431" s="2">
        <v>45764</v>
      </c>
      <c r="U431" s="1" t="b">
        <v>1</v>
      </c>
      <c r="V431" s="2">
        <v>45778</v>
      </c>
      <c r="W431" s="1" t="b">
        <v>0</v>
      </c>
      <c r="Y431" s="1">
        <v>64</v>
      </c>
      <c r="Z431" s="1">
        <v>71</v>
      </c>
      <c r="AA431" s="1">
        <v>43</v>
      </c>
      <c r="AB431" s="1" t="b">
        <v>0</v>
      </c>
      <c r="AD431" s="1" t="b">
        <v>0</v>
      </c>
      <c r="AF431" s="1" t="s">
        <v>105</v>
      </c>
      <c r="AG431" s="1" t="s">
        <v>207</v>
      </c>
      <c r="AH431" s="1">
        <v>25</v>
      </c>
      <c r="AI431" s="1" t="s">
        <v>157</v>
      </c>
    </row>
    <row r="432" spans="1:35" ht="12.5" x14ac:dyDescent="0.25">
      <c r="A432" s="1">
        <v>428</v>
      </c>
      <c r="B432" s="1" t="s">
        <v>1219</v>
      </c>
      <c r="C432" s="1" t="s">
        <v>1220</v>
      </c>
      <c r="D432" s="1" t="s">
        <v>737</v>
      </c>
      <c r="E432" s="1" t="s">
        <v>62</v>
      </c>
      <c r="F432" s="1" t="s">
        <v>63</v>
      </c>
      <c r="G432" s="1" t="s">
        <v>97</v>
      </c>
      <c r="H432" s="1" t="s">
        <v>65</v>
      </c>
      <c r="I432" s="1" t="s">
        <v>53</v>
      </c>
      <c r="J432" s="1">
        <v>4.7</v>
      </c>
      <c r="K432" s="1" t="s">
        <v>290</v>
      </c>
      <c r="L432" s="1" t="s">
        <v>44</v>
      </c>
      <c r="M432" s="1" t="s">
        <v>115</v>
      </c>
      <c r="N432" s="1" t="s">
        <v>92</v>
      </c>
      <c r="O432" s="2">
        <v>45774</v>
      </c>
      <c r="P432" s="2">
        <v>45779</v>
      </c>
      <c r="Q432" s="1" t="b">
        <v>0</v>
      </c>
      <c r="S432" s="1" t="b">
        <v>0</v>
      </c>
      <c r="U432" s="1" t="b">
        <v>0</v>
      </c>
      <c r="W432" s="1" t="b">
        <v>0</v>
      </c>
      <c r="Y432" s="1">
        <v>74</v>
      </c>
      <c r="Z432" s="1">
        <v>76</v>
      </c>
      <c r="AA432" s="1">
        <v>88</v>
      </c>
      <c r="AB432" s="1" t="b">
        <v>0</v>
      </c>
      <c r="AD432" s="1" t="b">
        <v>0</v>
      </c>
      <c r="AF432" s="1" t="s">
        <v>77</v>
      </c>
      <c r="AG432" s="1" t="s">
        <v>69</v>
      </c>
      <c r="AH432" s="1">
        <v>5</v>
      </c>
      <c r="AI432" s="1" t="s">
        <v>215</v>
      </c>
    </row>
    <row r="433" spans="1:35" ht="12.5" hidden="1" x14ac:dyDescent="0.25">
      <c r="A433" s="1">
        <v>429</v>
      </c>
      <c r="B433" s="1" t="s">
        <v>1221</v>
      </c>
      <c r="C433" s="1" t="s">
        <v>1222</v>
      </c>
      <c r="D433" s="1" t="s">
        <v>335</v>
      </c>
      <c r="E433" s="1" t="s">
        <v>102</v>
      </c>
      <c r="F433" s="1" t="s">
        <v>63</v>
      </c>
      <c r="G433" s="1" t="s">
        <v>75</v>
      </c>
      <c r="H433" s="1" t="s">
        <v>65</v>
      </c>
      <c r="I433" s="1" t="s">
        <v>42</v>
      </c>
      <c r="J433" s="1">
        <v>5.2</v>
      </c>
      <c r="K433" s="1" t="s">
        <v>76</v>
      </c>
      <c r="L433" s="1" t="s">
        <v>141</v>
      </c>
      <c r="M433" s="1" t="s">
        <v>123</v>
      </c>
      <c r="N433" s="1" t="s">
        <v>116</v>
      </c>
      <c r="O433" s="2">
        <v>45804</v>
      </c>
      <c r="P433" s="2">
        <v>45809</v>
      </c>
      <c r="Q433" s="1" t="b">
        <v>1</v>
      </c>
      <c r="R433" s="1">
        <v>3</v>
      </c>
      <c r="S433" s="1" t="b">
        <v>1</v>
      </c>
      <c r="T433" s="2">
        <v>45816</v>
      </c>
      <c r="U433" s="1" t="b">
        <v>0</v>
      </c>
      <c r="W433" s="1" t="b">
        <v>0</v>
      </c>
      <c r="Y433" s="1">
        <v>85</v>
      </c>
      <c r="Z433" s="1">
        <v>88</v>
      </c>
      <c r="AA433" s="1">
        <v>88</v>
      </c>
      <c r="AB433" s="1" t="b">
        <v>0</v>
      </c>
      <c r="AD433" s="1" t="b">
        <v>0</v>
      </c>
      <c r="AF433" s="1" t="s">
        <v>151</v>
      </c>
      <c r="AG433" s="1" t="s">
        <v>152</v>
      </c>
      <c r="AH433" s="1">
        <v>12</v>
      </c>
      <c r="AI433" s="1" t="s">
        <v>118</v>
      </c>
    </row>
    <row r="434" spans="1:35" ht="12.5" hidden="1" x14ac:dyDescent="0.25">
      <c r="A434" s="1">
        <v>430</v>
      </c>
      <c r="B434" s="1" t="s">
        <v>1223</v>
      </c>
      <c r="C434" s="1" t="s">
        <v>1224</v>
      </c>
      <c r="D434" s="1" t="s">
        <v>908</v>
      </c>
      <c r="E434" s="1" t="s">
        <v>62</v>
      </c>
      <c r="F434" s="1" t="s">
        <v>63</v>
      </c>
      <c r="G434" s="1" t="s">
        <v>112</v>
      </c>
      <c r="H434" s="1" t="s">
        <v>65</v>
      </c>
      <c r="I434" s="1" t="s">
        <v>82</v>
      </c>
      <c r="J434" s="1">
        <v>1.6</v>
      </c>
      <c r="K434" s="1" t="s">
        <v>769</v>
      </c>
      <c r="L434" s="1" t="s">
        <v>141</v>
      </c>
      <c r="M434" s="1" t="s">
        <v>115</v>
      </c>
      <c r="N434" s="1" t="s">
        <v>84</v>
      </c>
      <c r="O434" s="2">
        <v>45738</v>
      </c>
      <c r="P434" s="2">
        <v>45742</v>
      </c>
      <c r="Q434" s="1" t="b">
        <v>1</v>
      </c>
      <c r="R434" s="1">
        <v>0</v>
      </c>
      <c r="S434" s="1" t="b">
        <v>1</v>
      </c>
      <c r="T434" s="2">
        <v>45744</v>
      </c>
      <c r="U434" s="1" t="b">
        <v>1</v>
      </c>
      <c r="V434" s="2">
        <v>45750</v>
      </c>
      <c r="W434" s="1" t="b">
        <v>1</v>
      </c>
      <c r="X434" s="2">
        <v>45751</v>
      </c>
      <c r="Y434" s="1">
        <v>57</v>
      </c>
      <c r="Z434" s="1">
        <v>84</v>
      </c>
      <c r="AA434" s="1">
        <v>62</v>
      </c>
      <c r="AB434" s="1" t="b">
        <v>0</v>
      </c>
      <c r="AD434" s="1" t="b">
        <v>0</v>
      </c>
      <c r="AF434" s="1" t="s">
        <v>47</v>
      </c>
      <c r="AG434" s="1" t="s">
        <v>207</v>
      </c>
      <c r="AH434" s="1">
        <v>13</v>
      </c>
      <c r="AI434" s="1" t="s">
        <v>165</v>
      </c>
    </row>
    <row r="435" spans="1:35" ht="12.5" x14ac:dyDescent="0.25">
      <c r="A435" s="1">
        <v>431</v>
      </c>
      <c r="B435" s="1" t="s">
        <v>1225</v>
      </c>
      <c r="C435" s="1" t="s">
        <v>1226</v>
      </c>
      <c r="D435" s="1" t="s">
        <v>633</v>
      </c>
      <c r="E435" s="1" t="s">
        <v>102</v>
      </c>
      <c r="F435" s="1" t="s">
        <v>74</v>
      </c>
      <c r="G435" s="1" t="s">
        <v>97</v>
      </c>
      <c r="H435" s="1" t="s">
        <v>41</v>
      </c>
      <c r="I435" s="1" t="s">
        <v>53</v>
      </c>
      <c r="J435" s="1">
        <v>4.8</v>
      </c>
      <c r="K435" s="1" t="s">
        <v>260</v>
      </c>
      <c r="L435" s="1" t="s">
        <v>55</v>
      </c>
      <c r="M435" s="1" t="s">
        <v>56</v>
      </c>
      <c r="N435" s="1" t="s">
        <v>46</v>
      </c>
      <c r="O435" s="2">
        <v>45744</v>
      </c>
      <c r="P435" s="2">
        <v>45744</v>
      </c>
      <c r="Q435" s="1" t="b">
        <v>0</v>
      </c>
      <c r="S435" s="1" t="b">
        <v>0</v>
      </c>
      <c r="U435" s="1" t="b">
        <v>0</v>
      </c>
      <c r="W435" s="1" t="b">
        <v>0</v>
      </c>
      <c r="Y435" s="1">
        <v>83</v>
      </c>
      <c r="Z435" s="1">
        <v>75</v>
      </c>
      <c r="AA435" s="1">
        <v>87</v>
      </c>
      <c r="AB435" s="1" t="b">
        <v>0</v>
      </c>
      <c r="AD435" s="1" t="b">
        <v>0</v>
      </c>
      <c r="AF435" s="1" t="s">
        <v>77</v>
      </c>
      <c r="AG435" s="1" t="s">
        <v>69</v>
      </c>
      <c r="AH435" s="1">
        <v>0</v>
      </c>
      <c r="AI435" s="1" t="s">
        <v>215</v>
      </c>
    </row>
    <row r="436" spans="1:35" ht="12.5" hidden="1" x14ac:dyDescent="0.25">
      <c r="A436" s="1">
        <v>432</v>
      </c>
      <c r="B436" s="1" t="s">
        <v>1227</v>
      </c>
      <c r="C436" s="1" t="s">
        <v>1228</v>
      </c>
      <c r="D436" s="1" t="s">
        <v>908</v>
      </c>
      <c r="E436" s="1" t="s">
        <v>62</v>
      </c>
      <c r="F436" s="1" t="s">
        <v>111</v>
      </c>
      <c r="G436" s="1" t="s">
        <v>139</v>
      </c>
      <c r="H436" s="1" t="s">
        <v>88</v>
      </c>
      <c r="I436" s="1" t="s">
        <v>42</v>
      </c>
      <c r="J436" s="1">
        <v>6.6</v>
      </c>
      <c r="K436" s="1" t="s">
        <v>740</v>
      </c>
      <c r="L436" s="1" t="s">
        <v>67</v>
      </c>
      <c r="M436" s="1" t="s">
        <v>123</v>
      </c>
      <c r="N436" s="1" t="s">
        <v>84</v>
      </c>
      <c r="O436" s="2">
        <v>45719</v>
      </c>
      <c r="P436" s="2">
        <v>45723</v>
      </c>
      <c r="Q436" s="1" t="b">
        <v>1</v>
      </c>
      <c r="R436" s="1">
        <v>8</v>
      </c>
      <c r="S436" s="1" t="b">
        <v>1</v>
      </c>
      <c r="T436" s="2">
        <v>45724</v>
      </c>
      <c r="U436" s="1" t="b">
        <v>1</v>
      </c>
      <c r="V436" s="2">
        <v>45734</v>
      </c>
      <c r="W436" s="1" t="b">
        <v>1</v>
      </c>
      <c r="X436" s="2">
        <v>45737</v>
      </c>
      <c r="Y436" s="1">
        <v>66</v>
      </c>
      <c r="Z436" s="1">
        <v>66</v>
      </c>
      <c r="AA436" s="1">
        <v>75</v>
      </c>
      <c r="AB436" s="1" t="b">
        <v>0</v>
      </c>
      <c r="AD436" s="1" t="b">
        <v>0</v>
      </c>
      <c r="AF436" s="1" t="s">
        <v>47</v>
      </c>
      <c r="AG436" s="1" t="s">
        <v>152</v>
      </c>
      <c r="AH436" s="1">
        <v>18</v>
      </c>
      <c r="AI436" s="1" t="s">
        <v>165</v>
      </c>
    </row>
    <row r="437" spans="1:35" ht="12.5" x14ac:dyDescent="0.25">
      <c r="A437" s="1">
        <v>433</v>
      </c>
      <c r="B437" s="1" t="s">
        <v>1229</v>
      </c>
      <c r="C437" s="1" t="s">
        <v>1230</v>
      </c>
      <c r="D437" s="1" t="s">
        <v>229</v>
      </c>
      <c r="E437" s="1" t="s">
        <v>38</v>
      </c>
      <c r="F437" s="1" t="s">
        <v>111</v>
      </c>
      <c r="G437" s="1" t="s">
        <v>97</v>
      </c>
      <c r="H437" s="1" t="s">
        <v>88</v>
      </c>
      <c r="I437" s="1" t="s">
        <v>53</v>
      </c>
      <c r="J437" s="1">
        <v>5</v>
      </c>
      <c r="K437" s="1" t="s">
        <v>586</v>
      </c>
      <c r="L437" s="1" t="s">
        <v>141</v>
      </c>
      <c r="M437" s="1" t="s">
        <v>45</v>
      </c>
      <c r="N437" s="1" t="s">
        <v>46</v>
      </c>
      <c r="O437" s="2">
        <v>45757</v>
      </c>
      <c r="P437" s="2">
        <v>45769</v>
      </c>
      <c r="Q437" s="1" t="b">
        <v>0</v>
      </c>
      <c r="S437" s="1" t="b">
        <v>0</v>
      </c>
      <c r="U437" s="1" t="b">
        <v>0</v>
      </c>
      <c r="W437" s="1" t="b">
        <v>0</v>
      </c>
      <c r="Y437" s="1">
        <v>85</v>
      </c>
      <c r="Z437" s="1">
        <v>67</v>
      </c>
      <c r="AA437" s="1">
        <v>69</v>
      </c>
      <c r="AB437" s="1" t="b">
        <v>0</v>
      </c>
      <c r="AD437" s="1" t="b">
        <v>0</v>
      </c>
      <c r="AF437" s="1" t="s">
        <v>77</v>
      </c>
      <c r="AG437" s="1" t="s">
        <v>69</v>
      </c>
      <c r="AH437" s="1">
        <v>12</v>
      </c>
      <c r="AI437" s="1" t="s">
        <v>78</v>
      </c>
    </row>
    <row r="438" spans="1:35" ht="12.5" hidden="1" x14ac:dyDescent="0.25">
      <c r="A438" s="1">
        <v>434</v>
      </c>
      <c r="B438" s="1" t="s">
        <v>1231</v>
      </c>
      <c r="C438" s="1" t="s">
        <v>1232</v>
      </c>
      <c r="D438" s="1" t="s">
        <v>241</v>
      </c>
      <c r="E438" s="1" t="s">
        <v>102</v>
      </c>
      <c r="F438" s="1" t="s">
        <v>111</v>
      </c>
      <c r="G438" s="1" t="s">
        <v>40</v>
      </c>
      <c r="H438" s="1" t="s">
        <v>41</v>
      </c>
      <c r="I438" s="1" t="s">
        <v>42</v>
      </c>
      <c r="J438" s="1">
        <v>7.6</v>
      </c>
      <c r="K438" s="1" t="s">
        <v>1233</v>
      </c>
      <c r="L438" s="1" t="s">
        <v>114</v>
      </c>
      <c r="M438" s="1" t="s">
        <v>56</v>
      </c>
      <c r="N438" s="1" t="s">
        <v>116</v>
      </c>
      <c r="O438" s="2">
        <v>45701</v>
      </c>
      <c r="P438" s="2">
        <v>45704</v>
      </c>
      <c r="Q438" s="1" t="b">
        <v>1</v>
      </c>
      <c r="R438" s="1">
        <v>0</v>
      </c>
      <c r="S438" s="1" t="b">
        <v>1</v>
      </c>
      <c r="T438" s="2">
        <v>45708</v>
      </c>
      <c r="U438" s="1" t="b">
        <v>1</v>
      </c>
      <c r="V438" s="2">
        <v>45720</v>
      </c>
      <c r="W438" s="1" t="b">
        <v>1</v>
      </c>
      <c r="X438" s="2">
        <v>45729</v>
      </c>
      <c r="Y438" s="1">
        <v>68</v>
      </c>
      <c r="Z438" s="1">
        <v>71</v>
      </c>
      <c r="AA438" s="1">
        <v>70</v>
      </c>
      <c r="AB438" s="1" t="b">
        <v>0</v>
      </c>
      <c r="AD438" s="1" t="b">
        <v>0</v>
      </c>
      <c r="AF438" s="1" t="s">
        <v>47</v>
      </c>
      <c r="AH438" s="1">
        <v>28</v>
      </c>
      <c r="AI438" s="1" t="s">
        <v>70</v>
      </c>
    </row>
    <row r="439" spans="1:35" ht="12.5" x14ac:dyDescent="0.25">
      <c r="A439" s="1">
        <v>435</v>
      </c>
      <c r="B439" s="1" t="s">
        <v>1234</v>
      </c>
      <c r="C439" s="1" t="s">
        <v>1235</v>
      </c>
      <c r="D439" s="1" t="s">
        <v>249</v>
      </c>
      <c r="E439" s="1" t="s">
        <v>52</v>
      </c>
      <c r="F439" s="1" t="s">
        <v>74</v>
      </c>
      <c r="G439" s="1" t="s">
        <v>64</v>
      </c>
      <c r="H439" s="1" t="s">
        <v>41</v>
      </c>
      <c r="I439" s="1" t="s">
        <v>42</v>
      </c>
      <c r="J439" s="1">
        <v>5.6</v>
      </c>
      <c r="K439" s="1" t="s">
        <v>222</v>
      </c>
      <c r="L439" s="1" t="s">
        <v>141</v>
      </c>
      <c r="M439" s="1" t="s">
        <v>45</v>
      </c>
      <c r="N439" s="1" t="s">
        <v>84</v>
      </c>
      <c r="O439" s="2">
        <v>45690</v>
      </c>
      <c r="P439" s="2">
        <v>45693</v>
      </c>
      <c r="Q439" s="1" t="b">
        <v>0</v>
      </c>
      <c r="S439" s="1" t="b">
        <v>0</v>
      </c>
      <c r="U439" s="1" t="b">
        <v>0</v>
      </c>
      <c r="W439" s="1" t="b">
        <v>0</v>
      </c>
      <c r="Y439" s="1">
        <v>81</v>
      </c>
      <c r="Z439" s="1">
        <v>87</v>
      </c>
      <c r="AA439" s="1">
        <v>81</v>
      </c>
      <c r="AB439" s="1" t="b">
        <v>0</v>
      </c>
      <c r="AD439" s="1" t="b">
        <v>0</v>
      </c>
      <c r="AF439" s="1" t="s">
        <v>77</v>
      </c>
      <c r="AG439" s="1" t="s">
        <v>69</v>
      </c>
      <c r="AH439" s="1">
        <v>3</v>
      </c>
      <c r="AI439" s="1" t="s">
        <v>78</v>
      </c>
    </row>
    <row r="440" spans="1:35" ht="12.5" hidden="1" x14ac:dyDescent="0.25">
      <c r="A440" s="1">
        <v>436</v>
      </c>
      <c r="B440" s="1" t="s">
        <v>1236</v>
      </c>
      <c r="C440" s="1" t="s">
        <v>1237</v>
      </c>
      <c r="D440" s="1" t="s">
        <v>199</v>
      </c>
      <c r="E440" s="1" t="s">
        <v>52</v>
      </c>
      <c r="F440" s="1" t="s">
        <v>39</v>
      </c>
      <c r="G440" s="1" t="s">
        <v>97</v>
      </c>
      <c r="H440" s="1" t="s">
        <v>88</v>
      </c>
      <c r="I440" s="1" t="s">
        <v>53</v>
      </c>
      <c r="J440" s="1">
        <v>5.5</v>
      </c>
      <c r="K440" s="1" t="s">
        <v>476</v>
      </c>
      <c r="L440" s="1" t="s">
        <v>44</v>
      </c>
      <c r="M440" s="1" t="s">
        <v>115</v>
      </c>
      <c r="N440" s="1" t="s">
        <v>46</v>
      </c>
      <c r="O440" s="2">
        <v>45783</v>
      </c>
      <c r="P440" s="2">
        <v>45787</v>
      </c>
      <c r="Q440" s="1" t="b">
        <v>1</v>
      </c>
      <c r="R440" s="1">
        <v>8</v>
      </c>
      <c r="S440" s="1" t="b">
        <v>1</v>
      </c>
      <c r="T440" s="2">
        <v>45795</v>
      </c>
      <c r="U440" s="1" t="b">
        <v>1</v>
      </c>
      <c r="V440" s="2">
        <v>45807</v>
      </c>
      <c r="W440" s="1" t="b">
        <v>1</v>
      </c>
      <c r="X440" s="2">
        <v>45811</v>
      </c>
      <c r="Y440" s="1">
        <v>70</v>
      </c>
      <c r="Z440" s="1">
        <v>55</v>
      </c>
      <c r="AA440" s="1">
        <v>60</v>
      </c>
      <c r="AB440" s="1" t="b">
        <v>0</v>
      </c>
      <c r="AD440" s="1" t="b">
        <v>0</v>
      </c>
      <c r="AF440" s="1" t="s">
        <v>47</v>
      </c>
      <c r="AG440" s="1" t="s">
        <v>234</v>
      </c>
      <c r="AH440" s="1">
        <v>28</v>
      </c>
      <c r="AI440" s="1" t="s">
        <v>70</v>
      </c>
    </row>
    <row r="441" spans="1:35" ht="12.5" x14ac:dyDescent="0.25">
      <c r="A441" s="1">
        <v>437</v>
      </c>
      <c r="B441" s="1" t="s">
        <v>936</v>
      </c>
      <c r="C441" s="1" t="s">
        <v>1238</v>
      </c>
      <c r="D441" s="1" t="s">
        <v>253</v>
      </c>
      <c r="E441" s="1" t="s">
        <v>102</v>
      </c>
      <c r="F441" s="1" t="s">
        <v>39</v>
      </c>
      <c r="G441" s="1" t="s">
        <v>139</v>
      </c>
      <c r="H441" s="1" t="s">
        <v>65</v>
      </c>
      <c r="I441" s="1" t="s">
        <v>42</v>
      </c>
      <c r="J441" s="1">
        <v>6.8</v>
      </c>
      <c r="K441" s="1" t="s">
        <v>226</v>
      </c>
      <c r="L441" s="1" t="s">
        <v>90</v>
      </c>
      <c r="M441" s="1" t="s">
        <v>123</v>
      </c>
      <c r="N441" s="1" t="s">
        <v>46</v>
      </c>
      <c r="O441" s="2">
        <v>45671</v>
      </c>
      <c r="P441" s="2">
        <v>45675</v>
      </c>
      <c r="Q441" s="1" t="b">
        <v>0</v>
      </c>
      <c r="S441" s="1" t="b">
        <v>0</v>
      </c>
      <c r="U441" s="1" t="b">
        <v>0</v>
      </c>
      <c r="W441" s="1" t="b">
        <v>0</v>
      </c>
      <c r="Y441" s="1">
        <v>88</v>
      </c>
      <c r="Z441" s="1">
        <v>91</v>
      </c>
      <c r="AA441" s="1">
        <v>91</v>
      </c>
      <c r="AB441" s="1" t="b">
        <v>0</v>
      </c>
      <c r="AD441" s="1" t="b">
        <v>0</v>
      </c>
      <c r="AF441" s="1" t="s">
        <v>77</v>
      </c>
      <c r="AG441" s="1" t="s">
        <v>69</v>
      </c>
      <c r="AH441" s="1">
        <v>4</v>
      </c>
      <c r="AI441" s="1" t="s">
        <v>135</v>
      </c>
    </row>
    <row r="442" spans="1:35" ht="12.5" hidden="1" x14ac:dyDescent="0.25">
      <c r="A442" s="1">
        <v>438</v>
      </c>
      <c r="B442" s="1" t="s">
        <v>1239</v>
      </c>
      <c r="C442" s="1" t="s">
        <v>1240</v>
      </c>
      <c r="D442" s="1" t="s">
        <v>405</v>
      </c>
      <c r="E442" s="1" t="s">
        <v>38</v>
      </c>
      <c r="F442" s="1" t="s">
        <v>74</v>
      </c>
      <c r="G442" s="1" t="s">
        <v>64</v>
      </c>
      <c r="H442" s="1" t="s">
        <v>88</v>
      </c>
      <c r="I442" s="1" t="s">
        <v>53</v>
      </c>
      <c r="J442" s="1">
        <v>5.4</v>
      </c>
      <c r="K442" s="1" t="s">
        <v>156</v>
      </c>
      <c r="L442" s="1" t="s">
        <v>55</v>
      </c>
      <c r="M442" s="1" t="s">
        <v>129</v>
      </c>
      <c r="N442" s="1" t="s">
        <v>84</v>
      </c>
      <c r="O442" s="2">
        <v>45732</v>
      </c>
      <c r="P442" s="2">
        <v>45736</v>
      </c>
      <c r="Q442" s="1" t="b">
        <v>1</v>
      </c>
      <c r="R442" s="1">
        <v>5</v>
      </c>
      <c r="S442" s="1" t="b">
        <v>1</v>
      </c>
      <c r="T442" s="2">
        <v>45746</v>
      </c>
      <c r="U442" s="1" t="b">
        <v>0</v>
      </c>
      <c r="W442" s="1" t="b">
        <v>0</v>
      </c>
      <c r="Y442" s="1">
        <v>86</v>
      </c>
      <c r="Z442" s="1">
        <v>64</v>
      </c>
      <c r="AA442" s="1">
        <v>56</v>
      </c>
      <c r="AB442" s="1" t="b">
        <v>0</v>
      </c>
      <c r="AD442" s="1" t="b">
        <v>0</v>
      </c>
      <c r="AF442" s="1" t="s">
        <v>151</v>
      </c>
      <c r="AG442" s="1" t="s">
        <v>152</v>
      </c>
      <c r="AH442" s="1">
        <v>14</v>
      </c>
      <c r="AI442" s="1" t="s">
        <v>135</v>
      </c>
    </row>
    <row r="443" spans="1:35" ht="12.5" hidden="1" x14ac:dyDescent="0.25">
      <c r="A443" s="1">
        <v>439</v>
      </c>
      <c r="B443" s="1" t="s">
        <v>1241</v>
      </c>
      <c r="C443" s="1" t="s">
        <v>1242</v>
      </c>
      <c r="D443" s="1" t="s">
        <v>127</v>
      </c>
      <c r="E443" s="1" t="s">
        <v>62</v>
      </c>
      <c r="F443" s="1" t="s">
        <v>39</v>
      </c>
      <c r="G443" s="1" t="s">
        <v>40</v>
      </c>
      <c r="H443" s="1" t="s">
        <v>41</v>
      </c>
      <c r="I443" s="1" t="s">
        <v>42</v>
      </c>
      <c r="J443" s="1">
        <v>7</v>
      </c>
      <c r="K443" s="1" t="s">
        <v>222</v>
      </c>
      <c r="L443" s="1" t="s">
        <v>44</v>
      </c>
      <c r="M443" s="1" t="s">
        <v>123</v>
      </c>
      <c r="N443" s="1" t="s">
        <v>46</v>
      </c>
      <c r="O443" s="2">
        <v>45806</v>
      </c>
      <c r="P443" s="2">
        <v>45807</v>
      </c>
      <c r="Q443" s="1" t="b">
        <v>1</v>
      </c>
      <c r="R443" s="1">
        <v>5</v>
      </c>
      <c r="S443" s="1" t="b">
        <v>1</v>
      </c>
      <c r="T443" s="2">
        <v>45813</v>
      </c>
      <c r="U443" s="1" t="b">
        <v>1</v>
      </c>
      <c r="V443" s="2">
        <v>45825</v>
      </c>
      <c r="W443" s="1" t="b">
        <v>1</v>
      </c>
      <c r="X443" s="2">
        <v>45832</v>
      </c>
      <c r="Y443" s="1">
        <v>75</v>
      </c>
      <c r="Z443" s="1">
        <v>87</v>
      </c>
      <c r="AA443" s="1">
        <v>78</v>
      </c>
      <c r="AB443" s="1" t="b">
        <v>1</v>
      </c>
      <c r="AC443" s="2">
        <v>45835</v>
      </c>
      <c r="AD443" s="1" t="b">
        <v>1</v>
      </c>
      <c r="AE443" s="2">
        <v>45840</v>
      </c>
      <c r="AF443" s="1" t="s">
        <v>134</v>
      </c>
      <c r="AH443" s="1">
        <v>34</v>
      </c>
      <c r="AI443" s="1" t="s">
        <v>165</v>
      </c>
    </row>
    <row r="444" spans="1:35" ht="12.5" hidden="1" x14ac:dyDescent="0.25">
      <c r="A444" s="1">
        <v>440</v>
      </c>
      <c r="B444" s="1" t="s">
        <v>1243</v>
      </c>
      <c r="C444" s="1" t="s">
        <v>1244</v>
      </c>
      <c r="D444" s="1" t="s">
        <v>249</v>
      </c>
      <c r="E444" s="1" t="s">
        <v>62</v>
      </c>
      <c r="F444" s="1" t="s">
        <v>111</v>
      </c>
      <c r="G444" s="1" t="s">
        <v>97</v>
      </c>
      <c r="H444" s="1" t="s">
        <v>65</v>
      </c>
      <c r="I444" s="1" t="s">
        <v>53</v>
      </c>
      <c r="J444" s="1">
        <v>7</v>
      </c>
      <c r="K444" s="1" t="s">
        <v>43</v>
      </c>
      <c r="L444" s="1" t="s">
        <v>114</v>
      </c>
      <c r="M444" s="1" t="s">
        <v>115</v>
      </c>
      <c r="N444" s="1" t="s">
        <v>92</v>
      </c>
      <c r="O444" s="2">
        <v>45763</v>
      </c>
      <c r="P444" s="2">
        <v>45764</v>
      </c>
      <c r="Q444" s="1" t="b">
        <v>1</v>
      </c>
      <c r="R444" s="1">
        <v>9</v>
      </c>
      <c r="S444" s="1" t="b">
        <v>0</v>
      </c>
      <c r="U444" s="1" t="b">
        <v>0</v>
      </c>
      <c r="W444" s="1" t="b">
        <v>0</v>
      </c>
      <c r="Y444" s="1">
        <v>60</v>
      </c>
      <c r="Z444" s="1">
        <v>84</v>
      </c>
      <c r="AA444" s="1">
        <v>75</v>
      </c>
      <c r="AB444" s="1" t="b">
        <v>0</v>
      </c>
      <c r="AD444" s="1" t="b">
        <v>0</v>
      </c>
      <c r="AF444" s="1" t="s">
        <v>57</v>
      </c>
      <c r="AH444" s="1">
        <v>1</v>
      </c>
      <c r="AI444" s="1" t="s">
        <v>70</v>
      </c>
    </row>
    <row r="445" spans="1:35" ht="12.5" hidden="1" x14ac:dyDescent="0.25">
      <c r="A445" s="1">
        <v>441</v>
      </c>
      <c r="B445" s="1" t="s">
        <v>1245</v>
      </c>
      <c r="C445" s="1" t="s">
        <v>1246</v>
      </c>
      <c r="D445" s="1" t="s">
        <v>271</v>
      </c>
      <c r="E445" s="1" t="s">
        <v>62</v>
      </c>
      <c r="F445" s="1" t="s">
        <v>74</v>
      </c>
      <c r="G445" s="1" t="s">
        <v>40</v>
      </c>
      <c r="H445" s="1" t="s">
        <v>88</v>
      </c>
      <c r="I445" s="1" t="s">
        <v>82</v>
      </c>
      <c r="J445" s="1">
        <v>0.8</v>
      </c>
      <c r="K445" s="1" t="s">
        <v>1247</v>
      </c>
      <c r="L445" s="1" t="s">
        <v>90</v>
      </c>
      <c r="M445" s="1" t="s">
        <v>56</v>
      </c>
      <c r="N445" s="1" t="s">
        <v>84</v>
      </c>
      <c r="O445" s="2">
        <v>45670</v>
      </c>
      <c r="P445" s="2">
        <v>45670</v>
      </c>
      <c r="Q445" s="1" t="b">
        <v>1</v>
      </c>
      <c r="R445" s="1">
        <v>8</v>
      </c>
      <c r="S445" s="1" t="b">
        <v>1</v>
      </c>
      <c r="T445" s="2">
        <v>45673</v>
      </c>
      <c r="U445" s="1" t="b">
        <v>0</v>
      </c>
      <c r="W445" s="1" t="b">
        <v>0</v>
      </c>
      <c r="Y445" s="1">
        <v>81</v>
      </c>
      <c r="Z445" s="1">
        <v>70</v>
      </c>
      <c r="AA445" s="1">
        <v>84</v>
      </c>
      <c r="AB445" s="1" t="b">
        <v>0</v>
      </c>
      <c r="AD445" s="1" t="b">
        <v>0</v>
      </c>
      <c r="AF445" s="1" t="s">
        <v>151</v>
      </c>
      <c r="AG445" s="1" t="s">
        <v>117</v>
      </c>
      <c r="AH445" s="1">
        <v>3</v>
      </c>
      <c r="AI445" s="1" t="s">
        <v>78</v>
      </c>
    </row>
    <row r="446" spans="1:35" ht="12.5" hidden="1" x14ac:dyDescent="0.25">
      <c r="A446" s="1">
        <v>442</v>
      </c>
      <c r="B446" s="1" t="s">
        <v>1248</v>
      </c>
      <c r="C446" s="1" t="s">
        <v>1249</v>
      </c>
      <c r="D446" s="1" t="s">
        <v>497</v>
      </c>
      <c r="E446" s="1" t="s">
        <v>38</v>
      </c>
      <c r="F446" s="1" t="s">
        <v>74</v>
      </c>
      <c r="G446" s="1" t="s">
        <v>64</v>
      </c>
      <c r="H446" s="1" t="s">
        <v>65</v>
      </c>
      <c r="I446" s="1" t="s">
        <v>103</v>
      </c>
      <c r="J446" s="1">
        <v>12.6</v>
      </c>
      <c r="K446" s="1" t="s">
        <v>665</v>
      </c>
      <c r="L446" s="1" t="s">
        <v>67</v>
      </c>
      <c r="M446" s="1" t="s">
        <v>115</v>
      </c>
      <c r="N446" s="1" t="s">
        <v>84</v>
      </c>
      <c r="O446" s="2">
        <v>45743</v>
      </c>
      <c r="P446" s="2">
        <v>45747</v>
      </c>
      <c r="Q446" s="1" t="b">
        <v>1</v>
      </c>
      <c r="R446" s="1">
        <v>8</v>
      </c>
      <c r="S446" s="1" t="b">
        <v>0</v>
      </c>
      <c r="U446" s="1" t="b">
        <v>0</v>
      </c>
      <c r="W446" s="1" t="b">
        <v>0</v>
      </c>
      <c r="Y446" s="1">
        <v>83</v>
      </c>
      <c r="Z446" s="1">
        <v>75</v>
      </c>
      <c r="AA446" s="1">
        <v>79</v>
      </c>
      <c r="AB446" s="1" t="b">
        <v>0</v>
      </c>
      <c r="AD446" s="1" t="b">
        <v>0</v>
      </c>
      <c r="AF446" s="1" t="s">
        <v>57</v>
      </c>
      <c r="AH446" s="1">
        <v>4</v>
      </c>
      <c r="AI446" s="1" t="s">
        <v>93</v>
      </c>
    </row>
    <row r="447" spans="1:35" ht="12.5" hidden="1" x14ac:dyDescent="0.25">
      <c r="A447" s="1">
        <v>443</v>
      </c>
      <c r="B447" s="1" t="s">
        <v>1250</v>
      </c>
      <c r="C447" s="1" t="s">
        <v>1251</v>
      </c>
      <c r="D447" s="1" t="s">
        <v>179</v>
      </c>
      <c r="E447" s="1" t="s">
        <v>52</v>
      </c>
      <c r="F447" s="1" t="s">
        <v>74</v>
      </c>
      <c r="G447" s="1" t="s">
        <v>112</v>
      </c>
      <c r="H447" s="1" t="s">
        <v>41</v>
      </c>
      <c r="I447" s="1" t="s">
        <v>53</v>
      </c>
      <c r="J447" s="1">
        <v>4.9000000000000004</v>
      </c>
      <c r="K447" s="1" t="s">
        <v>1046</v>
      </c>
      <c r="L447" s="1" t="s">
        <v>141</v>
      </c>
      <c r="M447" s="1" t="s">
        <v>129</v>
      </c>
      <c r="N447" s="1" t="s">
        <v>116</v>
      </c>
      <c r="O447" s="2">
        <v>45663</v>
      </c>
      <c r="P447" s="2">
        <v>45663</v>
      </c>
      <c r="Q447" s="1" t="b">
        <v>1</v>
      </c>
      <c r="R447" s="1">
        <v>7</v>
      </c>
      <c r="S447" s="1" t="b">
        <v>1</v>
      </c>
      <c r="T447" s="2">
        <v>45664</v>
      </c>
      <c r="U447" s="1" t="b">
        <v>1</v>
      </c>
      <c r="V447" s="2">
        <v>45673</v>
      </c>
      <c r="W447" s="1" t="b">
        <v>1</v>
      </c>
      <c r="X447" s="2">
        <v>45683</v>
      </c>
      <c r="Y447" s="1">
        <v>85</v>
      </c>
      <c r="Z447" s="1">
        <v>63</v>
      </c>
      <c r="AA447" s="1">
        <v>78</v>
      </c>
      <c r="AB447" s="1" t="b">
        <v>0</v>
      </c>
      <c r="AD447" s="1" t="b">
        <v>0</v>
      </c>
      <c r="AF447" s="1" t="s">
        <v>47</v>
      </c>
      <c r="AH447" s="1">
        <v>20</v>
      </c>
      <c r="AI447" s="1" t="s">
        <v>78</v>
      </c>
    </row>
    <row r="448" spans="1:35" ht="12.5" hidden="1" x14ac:dyDescent="0.25">
      <c r="A448" s="1">
        <v>444</v>
      </c>
      <c r="B448" s="1" t="s">
        <v>1252</v>
      </c>
      <c r="C448" s="1" t="s">
        <v>1253</v>
      </c>
      <c r="D448" s="1" t="s">
        <v>557</v>
      </c>
      <c r="E448" s="1" t="s">
        <v>52</v>
      </c>
      <c r="F448" s="1" t="s">
        <v>111</v>
      </c>
      <c r="G448" s="1" t="s">
        <v>112</v>
      </c>
      <c r="H448" s="1" t="s">
        <v>41</v>
      </c>
      <c r="I448" s="1" t="s">
        <v>42</v>
      </c>
      <c r="J448" s="1">
        <v>6.5</v>
      </c>
      <c r="K448" s="1" t="s">
        <v>114</v>
      </c>
      <c r="L448" s="1" t="s">
        <v>44</v>
      </c>
      <c r="M448" s="1" t="s">
        <v>56</v>
      </c>
      <c r="N448" s="1" t="s">
        <v>116</v>
      </c>
      <c r="O448" s="2">
        <v>45687</v>
      </c>
      <c r="P448" s="2">
        <v>45691</v>
      </c>
      <c r="Q448" s="1" t="b">
        <v>1</v>
      </c>
      <c r="R448" s="1">
        <v>11</v>
      </c>
      <c r="S448" s="1" t="b">
        <v>0</v>
      </c>
      <c r="U448" s="1" t="b">
        <v>0</v>
      </c>
      <c r="W448" s="1" t="b">
        <v>0</v>
      </c>
      <c r="Y448" s="1">
        <v>75</v>
      </c>
      <c r="Z448" s="1">
        <v>68</v>
      </c>
      <c r="AA448" s="1">
        <v>80</v>
      </c>
      <c r="AB448" s="1" t="b">
        <v>0</v>
      </c>
      <c r="AD448" s="1" t="b">
        <v>0</v>
      </c>
      <c r="AF448" s="1" t="s">
        <v>57</v>
      </c>
      <c r="AG448" s="1" t="s">
        <v>287</v>
      </c>
      <c r="AH448" s="1">
        <v>4</v>
      </c>
      <c r="AI448" s="1" t="s">
        <v>93</v>
      </c>
    </row>
    <row r="449" spans="1:35" ht="12.5" x14ac:dyDescent="0.25">
      <c r="A449" s="1">
        <v>445</v>
      </c>
      <c r="B449" s="1" t="s">
        <v>1254</v>
      </c>
      <c r="C449" s="1" t="s">
        <v>1255</v>
      </c>
      <c r="D449" s="1" t="s">
        <v>160</v>
      </c>
      <c r="E449" s="1" t="s">
        <v>102</v>
      </c>
      <c r="F449" s="1" t="s">
        <v>111</v>
      </c>
      <c r="G449" s="1" t="s">
        <v>40</v>
      </c>
      <c r="H449" s="1" t="s">
        <v>41</v>
      </c>
      <c r="I449" s="1" t="s">
        <v>53</v>
      </c>
      <c r="J449" s="1">
        <v>4.3</v>
      </c>
      <c r="K449" s="1" t="s">
        <v>538</v>
      </c>
      <c r="L449" s="1" t="s">
        <v>141</v>
      </c>
      <c r="M449" s="1" t="s">
        <v>45</v>
      </c>
      <c r="N449" s="1" t="s">
        <v>46</v>
      </c>
      <c r="O449" s="2">
        <v>45666</v>
      </c>
      <c r="P449" s="2">
        <v>45666</v>
      </c>
      <c r="Q449" s="1" t="b">
        <v>0</v>
      </c>
      <c r="S449" s="1" t="b">
        <v>0</v>
      </c>
      <c r="U449" s="1" t="b">
        <v>0</v>
      </c>
      <c r="W449" s="1" t="b">
        <v>0</v>
      </c>
      <c r="Y449" s="1">
        <v>55</v>
      </c>
      <c r="Z449" s="1">
        <v>72</v>
      </c>
      <c r="AA449" s="1">
        <v>68</v>
      </c>
      <c r="AB449" s="1" t="b">
        <v>0</v>
      </c>
      <c r="AD449" s="1" t="b">
        <v>0</v>
      </c>
      <c r="AF449" s="1" t="s">
        <v>77</v>
      </c>
      <c r="AG449" s="1" t="s">
        <v>69</v>
      </c>
      <c r="AH449" s="1">
        <v>0</v>
      </c>
      <c r="AI449" s="1" t="s">
        <v>135</v>
      </c>
    </row>
    <row r="450" spans="1:35" ht="12.5" hidden="1" x14ac:dyDescent="0.25">
      <c r="A450" s="1">
        <v>446</v>
      </c>
      <c r="B450" s="1" t="s">
        <v>1256</v>
      </c>
      <c r="C450" s="1" t="s">
        <v>1257</v>
      </c>
      <c r="D450" s="1" t="s">
        <v>1019</v>
      </c>
      <c r="E450" s="1" t="s">
        <v>38</v>
      </c>
      <c r="F450" s="1" t="s">
        <v>39</v>
      </c>
      <c r="G450" s="1" t="s">
        <v>139</v>
      </c>
      <c r="H450" s="1" t="s">
        <v>65</v>
      </c>
      <c r="I450" s="1" t="s">
        <v>42</v>
      </c>
      <c r="J450" s="1">
        <v>7</v>
      </c>
      <c r="K450" s="1" t="s">
        <v>67</v>
      </c>
      <c r="L450" s="1" t="s">
        <v>114</v>
      </c>
      <c r="M450" s="1" t="s">
        <v>146</v>
      </c>
      <c r="N450" s="1" t="s">
        <v>116</v>
      </c>
      <c r="O450" s="2">
        <v>45792</v>
      </c>
      <c r="P450" s="2">
        <v>45792</v>
      </c>
      <c r="Q450" s="1" t="b">
        <v>1</v>
      </c>
      <c r="R450" s="1">
        <v>1</v>
      </c>
      <c r="S450" s="1" t="b">
        <v>1</v>
      </c>
      <c r="T450" s="2">
        <v>45802</v>
      </c>
      <c r="U450" s="1" t="b">
        <v>0</v>
      </c>
      <c r="W450" s="1" t="b">
        <v>0</v>
      </c>
      <c r="Y450" s="1">
        <v>67</v>
      </c>
      <c r="Z450" s="1">
        <v>85</v>
      </c>
      <c r="AA450" s="1">
        <v>70</v>
      </c>
      <c r="AB450" s="1" t="b">
        <v>0</v>
      </c>
      <c r="AD450" s="1" t="b">
        <v>0</v>
      </c>
      <c r="AF450" s="1" t="s">
        <v>151</v>
      </c>
      <c r="AH450" s="1">
        <v>10</v>
      </c>
      <c r="AI450" s="1" t="s">
        <v>215</v>
      </c>
    </row>
    <row r="451" spans="1:35" ht="12.5" hidden="1" x14ac:dyDescent="0.25">
      <c r="A451" s="1">
        <v>447</v>
      </c>
      <c r="B451" s="1" t="s">
        <v>1258</v>
      </c>
      <c r="C451" s="1" t="s">
        <v>1259</v>
      </c>
      <c r="D451" s="1" t="s">
        <v>326</v>
      </c>
      <c r="E451" s="1" t="s">
        <v>62</v>
      </c>
      <c r="F451" s="1" t="s">
        <v>111</v>
      </c>
      <c r="G451" s="1" t="s">
        <v>97</v>
      </c>
      <c r="H451" s="1" t="s">
        <v>88</v>
      </c>
      <c r="I451" s="1" t="s">
        <v>53</v>
      </c>
      <c r="J451" s="1">
        <v>3.9</v>
      </c>
      <c r="K451" s="1" t="s">
        <v>571</v>
      </c>
      <c r="L451" s="1" t="s">
        <v>67</v>
      </c>
      <c r="M451" s="1" t="s">
        <v>123</v>
      </c>
      <c r="N451" s="1" t="s">
        <v>92</v>
      </c>
      <c r="O451" s="2">
        <v>45665</v>
      </c>
      <c r="P451" s="2">
        <v>45670</v>
      </c>
      <c r="Q451" s="1" t="b">
        <v>1</v>
      </c>
      <c r="R451" s="1">
        <v>5</v>
      </c>
      <c r="S451" s="1" t="b">
        <v>1</v>
      </c>
      <c r="T451" s="2">
        <v>45672</v>
      </c>
      <c r="U451" s="1" t="b">
        <v>0</v>
      </c>
      <c r="W451" s="1" t="b">
        <v>0</v>
      </c>
      <c r="Y451" s="1">
        <v>74</v>
      </c>
      <c r="Z451" s="1">
        <v>75</v>
      </c>
      <c r="AA451" s="1">
        <v>65</v>
      </c>
      <c r="AB451" s="1" t="b">
        <v>0</v>
      </c>
      <c r="AD451" s="1" t="b">
        <v>0</v>
      </c>
      <c r="AF451" s="1" t="s">
        <v>151</v>
      </c>
      <c r="AG451" s="1" t="s">
        <v>176</v>
      </c>
      <c r="AH451" s="1">
        <v>7</v>
      </c>
      <c r="AI451" s="1" t="s">
        <v>70</v>
      </c>
    </row>
    <row r="452" spans="1:35" ht="12.5" x14ac:dyDescent="0.25">
      <c r="A452" s="1">
        <v>448</v>
      </c>
      <c r="B452" s="1" t="s">
        <v>1260</v>
      </c>
      <c r="C452" s="1" t="s">
        <v>1261</v>
      </c>
      <c r="D452" s="1" t="s">
        <v>278</v>
      </c>
      <c r="E452" s="1" t="s">
        <v>38</v>
      </c>
      <c r="F452" s="1" t="s">
        <v>74</v>
      </c>
      <c r="G452" s="1" t="s">
        <v>40</v>
      </c>
      <c r="H452" s="1" t="s">
        <v>41</v>
      </c>
      <c r="I452" s="1" t="s">
        <v>53</v>
      </c>
      <c r="J452" s="1">
        <v>4.9000000000000004</v>
      </c>
      <c r="K452" s="1" t="s">
        <v>128</v>
      </c>
      <c r="L452" s="1" t="s">
        <v>90</v>
      </c>
      <c r="M452" s="1" t="s">
        <v>56</v>
      </c>
      <c r="N452" s="1" t="s">
        <v>116</v>
      </c>
      <c r="O452" s="2">
        <v>45725</v>
      </c>
      <c r="P452" s="2">
        <v>45725</v>
      </c>
      <c r="Q452" s="1" t="b">
        <v>0</v>
      </c>
      <c r="S452" s="1" t="b">
        <v>0</v>
      </c>
      <c r="U452" s="1" t="b">
        <v>0</v>
      </c>
      <c r="W452" s="1" t="b">
        <v>0</v>
      </c>
      <c r="Y452" s="1">
        <v>68</v>
      </c>
      <c r="Z452" s="1">
        <v>74</v>
      </c>
      <c r="AA452" s="1">
        <v>56</v>
      </c>
      <c r="AB452" s="1" t="b">
        <v>0</v>
      </c>
      <c r="AD452" s="1" t="b">
        <v>0</v>
      </c>
      <c r="AF452" s="1" t="s">
        <v>77</v>
      </c>
      <c r="AG452" s="1" t="s">
        <v>69</v>
      </c>
      <c r="AH452" s="1">
        <v>0</v>
      </c>
      <c r="AI452" s="1" t="s">
        <v>215</v>
      </c>
    </row>
    <row r="453" spans="1:35" ht="12.5" hidden="1" x14ac:dyDescent="0.25">
      <c r="A453" s="1">
        <v>449</v>
      </c>
      <c r="B453" s="1" t="s">
        <v>1262</v>
      </c>
      <c r="C453" s="1" t="s">
        <v>1263</v>
      </c>
      <c r="D453" s="1" t="s">
        <v>249</v>
      </c>
      <c r="E453" s="1" t="s">
        <v>102</v>
      </c>
      <c r="F453" s="1" t="s">
        <v>39</v>
      </c>
      <c r="G453" s="1" t="s">
        <v>112</v>
      </c>
      <c r="H453" s="1" t="s">
        <v>65</v>
      </c>
      <c r="I453" s="1" t="s">
        <v>82</v>
      </c>
      <c r="J453" s="1">
        <v>0.9</v>
      </c>
      <c r="K453" s="1" t="s">
        <v>443</v>
      </c>
      <c r="L453" s="1" t="s">
        <v>55</v>
      </c>
      <c r="M453" s="1" t="s">
        <v>129</v>
      </c>
      <c r="N453" s="1" t="s">
        <v>46</v>
      </c>
      <c r="O453" s="2">
        <v>45680</v>
      </c>
      <c r="P453" s="2">
        <v>45680</v>
      </c>
      <c r="Q453" s="1" t="b">
        <v>1</v>
      </c>
      <c r="R453" s="1">
        <v>4</v>
      </c>
      <c r="S453" s="1" t="b">
        <v>1</v>
      </c>
      <c r="T453" s="2">
        <v>45681</v>
      </c>
      <c r="U453" s="1" t="b">
        <v>1</v>
      </c>
      <c r="V453" s="2">
        <v>45695</v>
      </c>
      <c r="W453" s="1" t="b">
        <v>1</v>
      </c>
      <c r="X453" s="2">
        <v>45700</v>
      </c>
      <c r="Y453" s="1">
        <v>61</v>
      </c>
      <c r="Z453" s="1">
        <v>60</v>
      </c>
      <c r="AA453" s="1">
        <v>50</v>
      </c>
      <c r="AB453" s="1" t="b">
        <v>0</v>
      </c>
      <c r="AD453" s="1" t="b">
        <v>0</v>
      </c>
      <c r="AF453" s="1" t="s">
        <v>47</v>
      </c>
      <c r="AH453" s="1">
        <v>20</v>
      </c>
      <c r="AI453" s="1" t="s">
        <v>157</v>
      </c>
    </row>
    <row r="454" spans="1:35" ht="12.5" hidden="1" x14ac:dyDescent="0.25">
      <c r="A454" s="1">
        <v>450</v>
      </c>
      <c r="B454" s="1" t="s">
        <v>1264</v>
      </c>
      <c r="C454" s="1" t="s">
        <v>1265</v>
      </c>
      <c r="D454" s="1" t="s">
        <v>367</v>
      </c>
      <c r="E454" s="1" t="s">
        <v>52</v>
      </c>
      <c r="F454" s="1" t="s">
        <v>63</v>
      </c>
      <c r="G454" s="1" t="s">
        <v>64</v>
      </c>
      <c r="H454" s="1" t="s">
        <v>41</v>
      </c>
      <c r="I454" s="1" t="s">
        <v>82</v>
      </c>
      <c r="J454" s="1">
        <v>1.7</v>
      </c>
      <c r="K454" s="1" t="s">
        <v>693</v>
      </c>
      <c r="L454" s="1" t="s">
        <v>114</v>
      </c>
      <c r="M454" s="1" t="s">
        <v>68</v>
      </c>
      <c r="N454" s="1" t="s">
        <v>116</v>
      </c>
      <c r="O454" s="2">
        <v>45675</v>
      </c>
      <c r="P454" s="2">
        <v>45675</v>
      </c>
      <c r="Q454" s="1" t="b">
        <v>1</v>
      </c>
      <c r="R454" s="1">
        <v>0</v>
      </c>
      <c r="S454" s="1" t="b">
        <v>1</v>
      </c>
      <c r="T454" s="2">
        <v>45678</v>
      </c>
      <c r="U454" s="1" t="b">
        <v>0</v>
      </c>
      <c r="W454" s="1" t="b">
        <v>0</v>
      </c>
      <c r="Y454" s="1">
        <v>62</v>
      </c>
      <c r="Z454" s="1">
        <v>63</v>
      </c>
      <c r="AA454" s="1">
        <v>64</v>
      </c>
      <c r="AB454" s="1" t="b">
        <v>0</v>
      </c>
      <c r="AD454" s="1" t="b">
        <v>0</v>
      </c>
      <c r="AF454" s="1" t="s">
        <v>151</v>
      </c>
      <c r="AH454" s="1">
        <v>3</v>
      </c>
      <c r="AI454" s="1" t="s">
        <v>48</v>
      </c>
    </row>
    <row r="455" spans="1:35" ht="12.5" hidden="1" x14ac:dyDescent="0.25">
      <c r="A455" s="1">
        <v>451</v>
      </c>
      <c r="B455" s="1" t="s">
        <v>1266</v>
      </c>
      <c r="C455" s="1" t="s">
        <v>1267</v>
      </c>
      <c r="D455" s="1" t="s">
        <v>249</v>
      </c>
      <c r="E455" s="1" t="s">
        <v>102</v>
      </c>
      <c r="F455" s="1" t="s">
        <v>111</v>
      </c>
      <c r="G455" s="1" t="s">
        <v>75</v>
      </c>
      <c r="H455" s="1" t="s">
        <v>41</v>
      </c>
      <c r="I455" s="1" t="s">
        <v>53</v>
      </c>
      <c r="J455" s="1">
        <v>4</v>
      </c>
      <c r="K455" s="1" t="s">
        <v>1268</v>
      </c>
      <c r="L455" s="1" t="s">
        <v>55</v>
      </c>
      <c r="M455" s="1" t="s">
        <v>45</v>
      </c>
      <c r="N455" s="1" t="s">
        <v>84</v>
      </c>
      <c r="O455" s="2">
        <v>45704</v>
      </c>
      <c r="P455" s="2">
        <v>45712</v>
      </c>
      <c r="Q455" s="1" t="b">
        <v>1</v>
      </c>
      <c r="R455" s="1">
        <v>9</v>
      </c>
      <c r="S455" s="1" t="b">
        <v>1</v>
      </c>
      <c r="T455" s="2">
        <v>45713</v>
      </c>
      <c r="U455" s="1" t="b">
        <v>1</v>
      </c>
      <c r="V455" s="2">
        <v>45722</v>
      </c>
      <c r="W455" s="1" t="b">
        <v>1</v>
      </c>
      <c r="X455" s="2">
        <v>45727</v>
      </c>
      <c r="Y455" s="1">
        <v>80</v>
      </c>
      <c r="Z455" s="1">
        <v>73</v>
      </c>
      <c r="AA455" s="1">
        <v>62</v>
      </c>
      <c r="AB455" s="1" t="b">
        <v>1</v>
      </c>
      <c r="AC455" s="2">
        <v>45728</v>
      </c>
      <c r="AD455" s="1" t="b">
        <v>1</v>
      </c>
      <c r="AE455" s="2">
        <v>45733</v>
      </c>
      <c r="AF455" s="1" t="s">
        <v>134</v>
      </c>
      <c r="AH455" s="1">
        <v>29</v>
      </c>
      <c r="AI455" s="1" t="s">
        <v>78</v>
      </c>
    </row>
    <row r="456" spans="1:35" ht="12.5" x14ac:dyDescent="0.25">
      <c r="A456" s="1">
        <v>452</v>
      </c>
      <c r="B456" s="1" t="s">
        <v>1269</v>
      </c>
      <c r="C456" s="1" t="s">
        <v>1270</v>
      </c>
      <c r="D456" s="1" t="s">
        <v>382</v>
      </c>
      <c r="E456" s="1" t="s">
        <v>52</v>
      </c>
      <c r="F456" s="1" t="s">
        <v>63</v>
      </c>
      <c r="G456" s="1" t="s">
        <v>139</v>
      </c>
      <c r="H456" s="1" t="s">
        <v>41</v>
      </c>
      <c r="I456" s="1" t="s">
        <v>42</v>
      </c>
      <c r="J456" s="1">
        <v>9.1</v>
      </c>
      <c r="K456" s="1" t="s">
        <v>356</v>
      </c>
      <c r="L456" s="1" t="s">
        <v>67</v>
      </c>
      <c r="M456" s="1" t="s">
        <v>91</v>
      </c>
      <c r="N456" s="1" t="s">
        <v>46</v>
      </c>
      <c r="O456" s="2">
        <v>45788</v>
      </c>
      <c r="P456" s="2">
        <v>45791</v>
      </c>
      <c r="Q456" s="1" t="b">
        <v>0</v>
      </c>
      <c r="S456" s="1" t="b">
        <v>0</v>
      </c>
      <c r="U456" s="1" t="b">
        <v>0</v>
      </c>
      <c r="W456" s="1" t="b">
        <v>0</v>
      </c>
      <c r="Y456" s="1">
        <v>91</v>
      </c>
      <c r="Z456" s="1">
        <v>72</v>
      </c>
      <c r="AA456" s="1">
        <v>94</v>
      </c>
      <c r="AB456" s="1" t="b">
        <v>0</v>
      </c>
      <c r="AD456" s="1" t="b">
        <v>0</v>
      </c>
      <c r="AF456" s="1" t="s">
        <v>77</v>
      </c>
      <c r="AG456" s="1" t="s">
        <v>69</v>
      </c>
      <c r="AH456" s="1">
        <v>3</v>
      </c>
      <c r="AI456" s="1" t="s">
        <v>70</v>
      </c>
    </row>
    <row r="457" spans="1:35" ht="12.5" x14ac:dyDescent="0.25">
      <c r="A457" s="1">
        <v>453</v>
      </c>
      <c r="B457" s="1" t="s">
        <v>1271</v>
      </c>
      <c r="C457" s="1" t="s">
        <v>1272</v>
      </c>
      <c r="D457" s="1" t="s">
        <v>218</v>
      </c>
      <c r="E457" s="1" t="s">
        <v>62</v>
      </c>
      <c r="F457" s="1" t="s">
        <v>39</v>
      </c>
      <c r="G457" s="1" t="s">
        <v>40</v>
      </c>
      <c r="H457" s="1" t="s">
        <v>41</v>
      </c>
      <c r="I457" s="1" t="s">
        <v>53</v>
      </c>
      <c r="J457" s="1">
        <v>4.4000000000000004</v>
      </c>
      <c r="K457" s="1" t="s">
        <v>66</v>
      </c>
      <c r="L457" s="1" t="s">
        <v>55</v>
      </c>
      <c r="M457" s="1" t="s">
        <v>129</v>
      </c>
      <c r="N457" s="1" t="s">
        <v>84</v>
      </c>
      <c r="O457" s="2">
        <v>45785</v>
      </c>
      <c r="P457" s="2">
        <v>45785</v>
      </c>
      <c r="Q457" s="1" t="b">
        <v>0</v>
      </c>
      <c r="S457" s="1" t="b">
        <v>0</v>
      </c>
      <c r="U457" s="1" t="b">
        <v>0</v>
      </c>
      <c r="W457" s="1" t="b">
        <v>0</v>
      </c>
      <c r="Y457" s="1">
        <v>81</v>
      </c>
      <c r="Z457" s="1">
        <v>79</v>
      </c>
      <c r="AA457" s="1">
        <v>82</v>
      </c>
      <c r="AB457" s="1" t="b">
        <v>0</v>
      </c>
      <c r="AD457" s="1" t="b">
        <v>0</v>
      </c>
      <c r="AF457" s="1" t="s">
        <v>77</v>
      </c>
      <c r="AG457" s="1" t="s">
        <v>69</v>
      </c>
      <c r="AH457" s="1">
        <v>0</v>
      </c>
      <c r="AI457" s="1" t="s">
        <v>118</v>
      </c>
    </row>
    <row r="458" spans="1:35" ht="12.5" x14ac:dyDescent="0.25">
      <c r="A458" s="1">
        <v>454</v>
      </c>
      <c r="B458" s="1" t="s">
        <v>1273</v>
      </c>
      <c r="C458" s="1" t="s">
        <v>1274</v>
      </c>
      <c r="D458" s="1" t="s">
        <v>293</v>
      </c>
      <c r="E458" s="1" t="s">
        <v>52</v>
      </c>
      <c r="F458" s="1" t="s">
        <v>74</v>
      </c>
      <c r="G458" s="1" t="s">
        <v>40</v>
      </c>
      <c r="H458" s="1" t="s">
        <v>65</v>
      </c>
      <c r="I458" s="1" t="s">
        <v>82</v>
      </c>
      <c r="J458" s="1">
        <v>2</v>
      </c>
      <c r="K458" s="1" t="s">
        <v>306</v>
      </c>
      <c r="L458" s="1" t="s">
        <v>114</v>
      </c>
      <c r="M458" s="1" t="s">
        <v>123</v>
      </c>
      <c r="N458" s="1" t="s">
        <v>116</v>
      </c>
      <c r="O458" s="2">
        <v>45772</v>
      </c>
      <c r="P458" s="2">
        <v>45774</v>
      </c>
      <c r="Q458" s="1" t="b">
        <v>0</v>
      </c>
      <c r="S458" s="1" t="b">
        <v>0</v>
      </c>
      <c r="U458" s="1" t="b">
        <v>0</v>
      </c>
      <c r="W458" s="1" t="b">
        <v>0</v>
      </c>
      <c r="Y458" s="1">
        <v>73</v>
      </c>
      <c r="Z458" s="1">
        <v>69</v>
      </c>
      <c r="AA458" s="1">
        <v>79</v>
      </c>
      <c r="AB458" s="1" t="b">
        <v>0</v>
      </c>
      <c r="AD458" s="1" t="b">
        <v>0</v>
      </c>
      <c r="AF458" s="1" t="s">
        <v>77</v>
      </c>
      <c r="AG458" s="1" t="s">
        <v>69</v>
      </c>
      <c r="AH458" s="1">
        <v>2</v>
      </c>
      <c r="AI458" s="1" t="s">
        <v>135</v>
      </c>
    </row>
    <row r="459" spans="1:35" ht="12.5" x14ac:dyDescent="0.25">
      <c r="A459" s="1">
        <v>455</v>
      </c>
      <c r="B459" s="1" t="s">
        <v>1275</v>
      </c>
      <c r="C459" s="1" t="s">
        <v>1276</v>
      </c>
      <c r="D459" s="1" t="s">
        <v>326</v>
      </c>
      <c r="E459" s="1" t="s">
        <v>102</v>
      </c>
      <c r="F459" s="1" t="s">
        <v>111</v>
      </c>
      <c r="G459" s="1" t="s">
        <v>75</v>
      </c>
      <c r="H459" s="1" t="s">
        <v>41</v>
      </c>
      <c r="I459" s="1" t="s">
        <v>42</v>
      </c>
      <c r="J459" s="1">
        <v>9.4</v>
      </c>
      <c r="K459" s="1" t="s">
        <v>360</v>
      </c>
      <c r="L459" s="1" t="s">
        <v>114</v>
      </c>
      <c r="M459" s="1" t="s">
        <v>56</v>
      </c>
      <c r="N459" s="1" t="s">
        <v>84</v>
      </c>
      <c r="O459" s="2">
        <v>45704</v>
      </c>
      <c r="P459" s="2">
        <v>45704</v>
      </c>
      <c r="Q459" s="1" t="b">
        <v>0</v>
      </c>
      <c r="S459" s="1" t="b">
        <v>0</v>
      </c>
      <c r="U459" s="1" t="b">
        <v>0</v>
      </c>
      <c r="W459" s="1" t="b">
        <v>0</v>
      </c>
      <c r="Y459" s="1">
        <v>86</v>
      </c>
      <c r="Z459" s="1">
        <v>78</v>
      </c>
      <c r="AA459" s="1">
        <v>69</v>
      </c>
      <c r="AB459" s="1" t="b">
        <v>0</v>
      </c>
      <c r="AD459" s="1" t="b">
        <v>0</v>
      </c>
      <c r="AF459" s="1" t="s">
        <v>77</v>
      </c>
      <c r="AG459" s="1" t="s">
        <v>69</v>
      </c>
      <c r="AH459" s="1">
        <v>0</v>
      </c>
      <c r="AI459" s="1" t="s">
        <v>135</v>
      </c>
    </row>
    <row r="460" spans="1:35" ht="12.5" x14ac:dyDescent="0.25">
      <c r="A460" s="1">
        <v>456</v>
      </c>
      <c r="B460" s="1" t="s">
        <v>1277</v>
      </c>
      <c r="C460" s="1" t="s">
        <v>1278</v>
      </c>
      <c r="D460" s="1" t="s">
        <v>199</v>
      </c>
      <c r="E460" s="1" t="s">
        <v>52</v>
      </c>
      <c r="F460" s="1" t="s">
        <v>63</v>
      </c>
      <c r="G460" s="1" t="s">
        <v>75</v>
      </c>
      <c r="H460" s="1" t="s">
        <v>41</v>
      </c>
      <c r="I460" s="1" t="s">
        <v>42</v>
      </c>
      <c r="J460" s="1">
        <v>8.5</v>
      </c>
      <c r="K460" s="1" t="s">
        <v>1279</v>
      </c>
      <c r="L460" s="1" t="s">
        <v>141</v>
      </c>
      <c r="M460" s="1" t="s">
        <v>123</v>
      </c>
      <c r="N460" s="1" t="s">
        <v>116</v>
      </c>
      <c r="O460" s="2">
        <v>45689</v>
      </c>
      <c r="P460" s="2">
        <v>45695</v>
      </c>
      <c r="Q460" s="1" t="b">
        <v>0</v>
      </c>
      <c r="S460" s="1" t="b">
        <v>0</v>
      </c>
      <c r="U460" s="1" t="b">
        <v>0</v>
      </c>
      <c r="W460" s="1" t="b">
        <v>0</v>
      </c>
      <c r="Y460" s="1">
        <v>57</v>
      </c>
      <c r="Z460" s="1">
        <v>64</v>
      </c>
      <c r="AA460" s="1">
        <v>50</v>
      </c>
      <c r="AB460" s="1" t="b">
        <v>0</v>
      </c>
      <c r="AD460" s="1" t="b">
        <v>0</v>
      </c>
      <c r="AF460" s="1" t="s">
        <v>77</v>
      </c>
      <c r="AG460" s="1" t="s">
        <v>69</v>
      </c>
      <c r="AH460" s="1">
        <v>6</v>
      </c>
      <c r="AI460" s="1" t="s">
        <v>78</v>
      </c>
    </row>
    <row r="461" spans="1:35" ht="12.5" hidden="1" x14ac:dyDescent="0.25">
      <c r="A461" s="1">
        <v>457</v>
      </c>
      <c r="B461" s="1" t="s">
        <v>1280</v>
      </c>
      <c r="C461" s="1" t="s">
        <v>1281</v>
      </c>
      <c r="D461" s="1" t="s">
        <v>311</v>
      </c>
      <c r="E461" s="1" t="s">
        <v>38</v>
      </c>
      <c r="F461" s="1" t="s">
        <v>74</v>
      </c>
      <c r="G461" s="1" t="s">
        <v>139</v>
      </c>
      <c r="H461" s="1" t="s">
        <v>88</v>
      </c>
      <c r="I461" s="1" t="s">
        <v>42</v>
      </c>
      <c r="J461" s="1">
        <v>8</v>
      </c>
      <c r="K461" s="1" t="s">
        <v>141</v>
      </c>
      <c r="L461" s="1" t="s">
        <v>55</v>
      </c>
      <c r="M461" s="1" t="s">
        <v>115</v>
      </c>
      <c r="N461" s="1" t="s">
        <v>84</v>
      </c>
      <c r="O461" s="2">
        <v>45729</v>
      </c>
      <c r="P461" s="2">
        <v>45733</v>
      </c>
      <c r="Q461" s="1" t="b">
        <v>1</v>
      </c>
      <c r="R461" s="1">
        <v>11</v>
      </c>
      <c r="S461" s="1" t="b">
        <v>1</v>
      </c>
      <c r="T461" s="2">
        <v>45735</v>
      </c>
      <c r="U461" s="1" t="b">
        <v>0</v>
      </c>
      <c r="W461" s="1" t="b">
        <v>0</v>
      </c>
      <c r="Y461" s="1">
        <v>63</v>
      </c>
      <c r="Z461" s="1">
        <v>86</v>
      </c>
      <c r="AA461" s="1">
        <v>69</v>
      </c>
      <c r="AB461" s="1" t="b">
        <v>0</v>
      </c>
      <c r="AD461" s="1" t="b">
        <v>0</v>
      </c>
      <c r="AF461" s="1" t="s">
        <v>151</v>
      </c>
      <c r="AH461" s="1">
        <v>6</v>
      </c>
      <c r="AI461" s="1" t="s">
        <v>157</v>
      </c>
    </row>
    <row r="462" spans="1:35" ht="12.5" hidden="1" x14ac:dyDescent="0.25">
      <c r="A462" s="1">
        <v>458</v>
      </c>
      <c r="B462" s="1" t="s">
        <v>1282</v>
      </c>
      <c r="C462" s="1" t="s">
        <v>1283</v>
      </c>
      <c r="D462" s="1" t="s">
        <v>218</v>
      </c>
      <c r="E462" s="1" t="s">
        <v>62</v>
      </c>
      <c r="F462" s="1" t="s">
        <v>74</v>
      </c>
      <c r="G462" s="1" t="s">
        <v>112</v>
      </c>
      <c r="H462" s="1" t="s">
        <v>88</v>
      </c>
      <c r="I462" s="1" t="s">
        <v>53</v>
      </c>
      <c r="J462" s="1">
        <v>3.3</v>
      </c>
      <c r="K462" s="1" t="s">
        <v>1180</v>
      </c>
      <c r="L462" s="1" t="s">
        <v>55</v>
      </c>
      <c r="M462" s="1" t="s">
        <v>129</v>
      </c>
      <c r="N462" s="1" t="s">
        <v>116</v>
      </c>
      <c r="O462" s="2">
        <v>45790</v>
      </c>
      <c r="P462" s="2">
        <v>45793</v>
      </c>
      <c r="Q462" s="1" t="b">
        <v>1</v>
      </c>
      <c r="R462" s="1">
        <v>6</v>
      </c>
      <c r="S462" s="1" t="b">
        <v>1</v>
      </c>
      <c r="T462" s="2">
        <v>45799</v>
      </c>
      <c r="U462" s="1" t="b">
        <v>1</v>
      </c>
      <c r="V462" s="2">
        <v>45801</v>
      </c>
      <c r="W462" s="1" t="b">
        <v>1</v>
      </c>
      <c r="X462" s="2">
        <v>45804</v>
      </c>
      <c r="Y462" s="1">
        <v>77</v>
      </c>
      <c r="Z462" s="1">
        <v>84</v>
      </c>
      <c r="AA462" s="1">
        <v>76</v>
      </c>
      <c r="AB462" s="1" t="b">
        <v>1</v>
      </c>
      <c r="AC462" s="2">
        <v>45810</v>
      </c>
      <c r="AD462" s="1" t="b">
        <v>1</v>
      </c>
      <c r="AE462" s="2">
        <v>45822</v>
      </c>
      <c r="AF462" s="1" t="s">
        <v>134</v>
      </c>
      <c r="AH462" s="1">
        <v>32</v>
      </c>
      <c r="AI462" s="1" t="s">
        <v>93</v>
      </c>
    </row>
    <row r="463" spans="1:35" ht="12.5" hidden="1" x14ac:dyDescent="0.25">
      <c r="A463" s="1">
        <v>459</v>
      </c>
      <c r="B463" s="1" t="s">
        <v>467</v>
      </c>
      <c r="C463" s="1" t="s">
        <v>1284</v>
      </c>
      <c r="D463" s="1" t="s">
        <v>108</v>
      </c>
      <c r="E463" s="1" t="s">
        <v>52</v>
      </c>
      <c r="F463" s="1" t="s">
        <v>74</v>
      </c>
      <c r="G463" s="1" t="s">
        <v>40</v>
      </c>
      <c r="H463" s="1" t="s">
        <v>65</v>
      </c>
      <c r="I463" s="1" t="s">
        <v>42</v>
      </c>
      <c r="J463" s="1">
        <v>7.7</v>
      </c>
      <c r="K463" s="1" t="s">
        <v>140</v>
      </c>
      <c r="L463" s="1" t="s">
        <v>90</v>
      </c>
      <c r="M463" s="1" t="s">
        <v>115</v>
      </c>
      <c r="N463" s="1" t="s">
        <v>46</v>
      </c>
      <c r="O463" s="2">
        <v>45689</v>
      </c>
      <c r="P463" s="2">
        <v>45693</v>
      </c>
      <c r="Q463" s="1" t="b">
        <v>1</v>
      </c>
      <c r="R463" s="1">
        <v>10</v>
      </c>
      <c r="S463" s="1" t="b">
        <v>0</v>
      </c>
      <c r="U463" s="1" t="b">
        <v>0</v>
      </c>
      <c r="W463" s="1" t="b">
        <v>0</v>
      </c>
      <c r="Y463" s="1">
        <v>85</v>
      </c>
      <c r="Z463" s="1">
        <v>88</v>
      </c>
      <c r="AA463" s="1">
        <v>84</v>
      </c>
      <c r="AB463" s="1" t="b">
        <v>0</v>
      </c>
      <c r="AD463" s="1" t="b">
        <v>0</v>
      </c>
      <c r="AF463" s="1" t="s">
        <v>57</v>
      </c>
      <c r="AH463" s="1">
        <v>4</v>
      </c>
      <c r="AI463" s="1" t="s">
        <v>78</v>
      </c>
    </row>
    <row r="464" spans="1:35" ht="12.5" hidden="1" x14ac:dyDescent="0.25">
      <c r="A464" s="1">
        <v>460</v>
      </c>
      <c r="B464" s="1" t="s">
        <v>1285</v>
      </c>
      <c r="C464" s="1" t="s">
        <v>1286</v>
      </c>
      <c r="D464" s="1" t="s">
        <v>505</v>
      </c>
      <c r="E464" s="1" t="s">
        <v>38</v>
      </c>
      <c r="F464" s="1" t="s">
        <v>63</v>
      </c>
      <c r="G464" s="1" t="s">
        <v>139</v>
      </c>
      <c r="H464" s="1" t="s">
        <v>65</v>
      </c>
      <c r="I464" s="1" t="s">
        <v>82</v>
      </c>
      <c r="J464" s="1">
        <v>4.5</v>
      </c>
      <c r="K464" s="1" t="s">
        <v>76</v>
      </c>
      <c r="L464" s="1" t="s">
        <v>55</v>
      </c>
      <c r="M464" s="1" t="s">
        <v>68</v>
      </c>
      <c r="N464" s="1" t="s">
        <v>116</v>
      </c>
      <c r="O464" s="2">
        <v>45677</v>
      </c>
      <c r="P464" s="2">
        <v>45677</v>
      </c>
      <c r="Q464" s="1" t="b">
        <v>1</v>
      </c>
      <c r="R464" s="1">
        <v>0</v>
      </c>
      <c r="S464" s="1" t="b">
        <v>1</v>
      </c>
      <c r="T464" s="2">
        <v>45681</v>
      </c>
      <c r="U464" s="1" t="b">
        <v>1</v>
      </c>
      <c r="V464" s="2">
        <v>45695</v>
      </c>
      <c r="W464" s="1" t="b">
        <v>0</v>
      </c>
      <c r="Y464" s="1">
        <v>77</v>
      </c>
      <c r="Z464" s="1">
        <v>100</v>
      </c>
      <c r="AA464" s="1">
        <v>79</v>
      </c>
      <c r="AB464" s="1" t="b">
        <v>0</v>
      </c>
      <c r="AD464" s="1" t="b">
        <v>0</v>
      </c>
      <c r="AF464" s="1" t="s">
        <v>105</v>
      </c>
      <c r="AG464" s="1" t="s">
        <v>361</v>
      </c>
      <c r="AH464" s="1">
        <v>18</v>
      </c>
      <c r="AI464" s="1" t="s">
        <v>48</v>
      </c>
    </row>
    <row r="465" spans="1:35" ht="12.5" hidden="1" x14ac:dyDescent="0.25">
      <c r="A465" s="1">
        <v>461</v>
      </c>
      <c r="B465" s="1" t="s">
        <v>1287</v>
      </c>
      <c r="C465" s="1" t="s">
        <v>1288</v>
      </c>
      <c r="D465" s="1" t="s">
        <v>338</v>
      </c>
      <c r="E465" s="1" t="s">
        <v>62</v>
      </c>
      <c r="F465" s="1" t="s">
        <v>74</v>
      </c>
      <c r="G465" s="1" t="s">
        <v>64</v>
      </c>
      <c r="H465" s="1" t="s">
        <v>41</v>
      </c>
      <c r="I465" s="1" t="s">
        <v>42</v>
      </c>
      <c r="J465" s="1">
        <v>9</v>
      </c>
      <c r="K465" s="1" t="s">
        <v>769</v>
      </c>
      <c r="L465" s="1" t="s">
        <v>114</v>
      </c>
      <c r="M465" s="1" t="s">
        <v>115</v>
      </c>
      <c r="N465" s="1" t="s">
        <v>116</v>
      </c>
      <c r="O465" s="2">
        <v>45721</v>
      </c>
      <c r="P465" s="2">
        <v>45724</v>
      </c>
      <c r="Q465" s="1" t="b">
        <v>1</v>
      </c>
      <c r="R465" s="1">
        <v>5</v>
      </c>
      <c r="S465" s="1" t="b">
        <v>0</v>
      </c>
      <c r="U465" s="1" t="b">
        <v>0</v>
      </c>
      <c r="W465" s="1" t="b">
        <v>0</v>
      </c>
      <c r="Y465" s="1">
        <v>75</v>
      </c>
      <c r="Z465" s="1">
        <v>88</v>
      </c>
      <c r="AA465" s="1">
        <v>74</v>
      </c>
      <c r="AB465" s="1" t="b">
        <v>0</v>
      </c>
      <c r="AD465" s="1" t="b">
        <v>0</v>
      </c>
      <c r="AF465" s="1" t="s">
        <v>57</v>
      </c>
      <c r="AG465" s="1" t="s">
        <v>176</v>
      </c>
      <c r="AH465" s="1">
        <v>3</v>
      </c>
      <c r="AI465" s="1" t="s">
        <v>58</v>
      </c>
    </row>
    <row r="466" spans="1:35" ht="12.5" hidden="1" x14ac:dyDescent="0.25">
      <c r="A466" s="1">
        <v>462</v>
      </c>
      <c r="B466" s="1" t="s">
        <v>1289</v>
      </c>
      <c r="C466" s="1" t="s">
        <v>1290</v>
      </c>
      <c r="D466" s="1" t="s">
        <v>1014</v>
      </c>
      <c r="E466" s="1" t="s">
        <v>102</v>
      </c>
      <c r="F466" s="1" t="s">
        <v>74</v>
      </c>
      <c r="G466" s="1" t="s">
        <v>112</v>
      </c>
      <c r="H466" s="1" t="s">
        <v>41</v>
      </c>
      <c r="I466" s="1" t="s">
        <v>53</v>
      </c>
      <c r="J466" s="1">
        <v>5.2</v>
      </c>
      <c r="K466" s="1" t="s">
        <v>538</v>
      </c>
      <c r="L466" s="1" t="s">
        <v>90</v>
      </c>
      <c r="M466" s="1" t="s">
        <v>91</v>
      </c>
      <c r="N466" s="1" t="s">
        <v>46</v>
      </c>
      <c r="O466" s="2">
        <v>45797</v>
      </c>
      <c r="P466" s="2">
        <v>45797</v>
      </c>
      <c r="Q466" s="1" t="b">
        <v>1</v>
      </c>
      <c r="R466" s="1">
        <v>12</v>
      </c>
      <c r="S466" s="1" t="b">
        <v>1</v>
      </c>
      <c r="T466" s="2">
        <v>45800</v>
      </c>
      <c r="U466" s="1" t="b">
        <v>1</v>
      </c>
      <c r="V466" s="2">
        <v>45810</v>
      </c>
      <c r="W466" s="1" t="b">
        <v>1</v>
      </c>
      <c r="X466" s="2">
        <v>45811</v>
      </c>
      <c r="Y466" s="1">
        <v>72</v>
      </c>
      <c r="Z466" s="1">
        <v>93</v>
      </c>
      <c r="AA466" s="1">
        <v>97</v>
      </c>
      <c r="AB466" s="1" t="b">
        <v>1</v>
      </c>
      <c r="AC466" s="2">
        <v>45814</v>
      </c>
      <c r="AD466" s="1" t="b">
        <v>1</v>
      </c>
      <c r="AE466" s="2">
        <v>45822</v>
      </c>
      <c r="AF466" s="1" t="s">
        <v>134</v>
      </c>
      <c r="AH466" s="1">
        <v>25</v>
      </c>
      <c r="AI466" s="1" t="s">
        <v>165</v>
      </c>
    </row>
    <row r="467" spans="1:35" ht="12.5" hidden="1" x14ac:dyDescent="0.25">
      <c r="A467" s="1">
        <v>463</v>
      </c>
      <c r="B467" s="1" t="s">
        <v>1291</v>
      </c>
      <c r="C467" s="1" t="s">
        <v>1292</v>
      </c>
      <c r="D467" s="1" t="s">
        <v>598</v>
      </c>
      <c r="E467" s="1" t="s">
        <v>38</v>
      </c>
      <c r="F467" s="1" t="s">
        <v>111</v>
      </c>
      <c r="G467" s="1" t="s">
        <v>112</v>
      </c>
      <c r="H467" s="1" t="s">
        <v>88</v>
      </c>
      <c r="I467" s="1" t="s">
        <v>42</v>
      </c>
      <c r="J467" s="1">
        <v>7.3</v>
      </c>
      <c r="K467" s="1" t="s">
        <v>161</v>
      </c>
      <c r="L467" s="1" t="s">
        <v>55</v>
      </c>
      <c r="M467" s="1" t="s">
        <v>68</v>
      </c>
      <c r="N467" s="1" t="s">
        <v>46</v>
      </c>
      <c r="O467" s="2">
        <v>45747</v>
      </c>
      <c r="P467" s="2">
        <v>45753</v>
      </c>
      <c r="Q467" s="1" t="b">
        <v>1</v>
      </c>
      <c r="R467" s="1">
        <v>9</v>
      </c>
      <c r="S467" s="1" t="b">
        <v>1</v>
      </c>
      <c r="T467" s="2">
        <v>45757</v>
      </c>
      <c r="U467" s="1" t="b">
        <v>1</v>
      </c>
      <c r="V467" s="2">
        <v>45765</v>
      </c>
      <c r="W467" s="1" t="b">
        <v>1</v>
      </c>
      <c r="X467" s="2">
        <v>45768</v>
      </c>
      <c r="Y467" s="1">
        <v>73</v>
      </c>
      <c r="Z467" s="1">
        <v>69</v>
      </c>
      <c r="AA467" s="1">
        <v>84</v>
      </c>
      <c r="AB467" s="1" t="b">
        <v>0</v>
      </c>
      <c r="AD467" s="1" t="b">
        <v>0</v>
      </c>
      <c r="AF467" s="1" t="s">
        <v>47</v>
      </c>
      <c r="AG467" s="1" t="s">
        <v>176</v>
      </c>
      <c r="AH467" s="1">
        <v>21</v>
      </c>
      <c r="AI467" s="1" t="s">
        <v>157</v>
      </c>
    </row>
    <row r="468" spans="1:35" ht="12.5" hidden="1" x14ac:dyDescent="0.25">
      <c r="A468" s="1">
        <v>464</v>
      </c>
      <c r="B468" s="1" t="s">
        <v>1293</v>
      </c>
      <c r="C468" s="1" t="s">
        <v>1294</v>
      </c>
      <c r="D468" s="1" t="s">
        <v>326</v>
      </c>
      <c r="E468" s="1" t="s">
        <v>102</v>
      </c>
      <c r="F468" s="1" t="s">
        <v>111</v>
      </c>
      <c r="G468" s="1" t="s">
        <v>64</v>
      </c>
      <c r="H468" s="1" t="s">
        <v>41</v>
      </c>
      <c r="I468" s="1" t="s">
        <v>53</v>
      </c>
      <c r="J468" s="1">
        <v>4.5999999999999996</v>
      </c>
      <c r="K468" s="1" t="s">
        <v>385</v>
      </c>
      <c r="L468" s="1" t="s">
        <v>114</v>
      </c>
      <c r="M468" s="1" t="s">
        <v>68</v>
      </c>
      <c r="N468" s="1" t="s">
        <v>46</v>
      </c>
      <c r="O468" s="2">
        <v>45687</v>
      </c>
      <c r="P468" s="2">
        <v>45692</v>
      </c>
      <c r="Q468" s="1" t="b">
        <v>1</v>
      </c>
      <c r="R468" s="1">
        <v>6</v>
      </c>
      <c r="S468" s="1" t="b">
        <v>1</v>
      </c>
      <c r="T468" s="2">
        <v>45700</v>
      </c>
      <c r="U468" s="1" t="b">
        <v>1</v>
      </c>
      <c r="V468" s="2">
        <v>45706</v>
      </c>
      <c r="W468" s="1" t="b">
        <v>1</v>
      </c>
      <c r="X468" s="2">
        <v>45716</v>
      </c>
      <c r="Y468" s="1">
        <v>79</v>
      </c>
      <c r="Z468" s="1">
        <v>66</v>
      </c>
      <c r="AA468" s="1">
        <v>69</v>
      </c>
      <c r="AB468" s="1" t="b">
        <v>0</v>
      </c>
      <c r="AD468" s="1" t="b">
        <v>0</v>
      </c>
      <c r="AF468" s="1" t="s">
        <v>47</v>
      </c>
      <c r="AH468" s="1">
        <v>29</v>
      </c>
      <c r="AI468" s="1" t="s">
        <v>157</v>
      </c>
    </row>
    <row r="469" spans="1:35" ht="12.5" x14ac:dyDescent="0.25">
      <c r="A469" s="1">
        <v>465</v>
      </c>
      <c r="B469" s="1" t="s">
        <v>1295</v>
      </c>
      <c r="C469" s="1" t="s">
        <v>1296</v>
      </c>
      <c r="D469" s="1" t="s">
        <v>564</v>
      </c>
      <c r="E469" s="1" t="s">
        <v>38</v>
      </c>
      <c r="F469" s="1" t="s">
        <v>63</v>
      </c>
      <c r="G469" s="1" t="s">
        <v>75</v>
      </c>
      <c r="H469" s="1" t="s">
        <v>65</v>
      </c>
      <c r="I469" s="1" t="s">
        <v>82</v>
      </c>
      <c r="J469" s="1">
        <v>3.7</v>
      </c>
      <c r="K469" s="1" t="s">
        <v>706</v>
      </c>
      <c r="L469" s="1" t="s">
        <v>67</v>
      </c>
      <c r="M469" s="1" t="s">
        <v>146</v>
      </c>
      <c r="N469" s="1" t="s">
        <v>46</v>
      </c>
      <c r="O469" s="2">
        <v>45702</v>
      </c>
      <c r="P469" s="2">
        <v>45706</v>
      </c>
      <c r="Q469" s="1" t="b">
        <v>0</v>
      </c>
      <c r="S469" s="1" t="b">
        <v>0</v>
      </c>
      <c r="U469" s="1" t="b">
        <v>0</v>
      </c>
      <c r="W469" s="1" t="b">
        <v>0</v>
      </c>
      <c r="Y469" s="1">
        <v>70</v>
      </c>
      <c r="Z469" s="1">
        <v>70</v>
      </c>
      <c r="AA469" s="1">
        <v>75</v>
      </c>
      <c r="AB469" s="1" t="b">
        <v>0</v>
      </c>
      <c r="AD469" s="1" t="b">
        <v>0</v>
      </c>
      <c r="AF469" s="1" t="s">
        <v>77</v>
      </c>
      <c r="AG469" s="1" t="s">
        <v>69</v>
      </c>
      <c r="AH469" s="1">
        <v>4</v>
      </c>
      <c r="AI469" s="1" t="s">
        <v>165</v>
      </c>
    </row>
    <row r="470" spans="1:35" ht="12.5" hidden="1" x14ac:dyDescent="0.25">
      <c r="A470" s="1">
        <v>466</v>
      </c>
      <c r="B470" s="1" t="s">
        <v>1297</v>
      </c>
      <c r="C470" s="1" t="s">
        <v>1298</v>
      </c>
      <c r="D470" s="1" t="s">
        <v>293</v>
      </c>
      <c r="E470" s="1" t="s">
        <v>38</v>
      </c>
      <c r="F470" s="1" t="s">
        <v>39</v>
      </c>
      <c r="G470" s="1" t="s">
        <v>64</v>
      </c>
      <c r="H470" s="1" t="s">
        <v>88</v>
      </c>
      <c r="I470" s="1" t="s">
        <v>103</v>
      </c>
      <c r="J470" s="1">
        <v>10.8</v>
      </c>
      <c r="K470" s="1" t="s">
        <v>610</v>
      </c>
      <c r="L470" s="1" t="s">
        <v>114</v>
      </c>
      <c r="M470" s="1" t="s">
        <v>56</v>
      </c>
      <c r="N470" s="1" t="s">
        <v>92</v>
      </c>
      <c r="O470" s="2">
        <v>45688</v>
      </c>
      <c r="P470" s="2">
        <v>45691</v>
      </c>
      <c r="Q470" s="1" t="b">
        <v>1</v>
      </c>
      <c r="R470" s="1">
        <v>0</v>
      </c>
      <c r="S470" s="1" t="b">
        <v>0</v>
      </c>
      <c r="U470" s="1" t="b">
        <v>0</v>
      </c>
      <c r="W470" s="1" t="b">
        <v>0</v>
      </c>
      <c r="Y470" s="1">
        <v>71</v>
      </c>
      <c r="Z470" s="1">
        <v>71</v>
      </c>
      <c r="AA470" s="1">
        <v>73</v>
      </c>
      <c r="AB470" s="1" t="b">
        <v>0</v>
      </c>
      <c r="AD470" s="1" t="b">
        <v>0</v>
      </c>
      <c r="AF470" s="1" t="s">
        <v>57</v>
      </c>
      <c r="AH470" s="1">
        <v>3</v>
      </c>
      <c r="AI470" s="1" t="s">
        <v>118</v>
      </c>
    </row>
    <row r="471" spans="1:35" ht="12.5" hidden="1" x14ac:dyDescent="0.25">
      <c r="A471" s="1">
        <v>467</v>
      </c>
      <c r="B471" s="1" t="s">
        <v>1299</v>
      </c>
      <c r="C471" s="1" t="s">
        <v>1300</v>
      </c>
      <c r="D471" s="1" t="s">
        <v>473</v>
      </c>
      <c r="E471" s="1" t="s">
        <v>62</v>
      </c>
      <c r="F471" s="1" t="s">
        <v>74</v>
      </c>
      <c r="G471" s="1" t="s">
        <v>97</v>
      </c>
      <c r="H471" s="1" t="s">
        <v>41</v>
      </c>
      <c r="I471" s="1" t="s">
        <v>82</v>
      </c>
      <c r="J471" s="1">
        <v>0.3</v>
      </c>
      <c r="K471" s="1" t="s">
        <v>141</v>
      </c>
      <c r="L471" s="1" t="s">
        <v>141</v>
      </c>
      <c r="M471" s="1" t="s">
        <v>129</v>
      </c>
      <c r="N471" s="1" t="s">
        <v>92</v>
      </c>
      <c r="O471" s="2">
        <v>45769</v>
      </c>
      <c r="P471" s="2">
        <v>45769</v>
      </c>
      <c r="Q471" s="1" t="b">
        <v>1</v>
      </c>
      <c r="R471" s="1">
        <v>0</v>
      </c>
      <c r="S471" s="1" t="b">
        <v>1</v>
      </c>
      <c r="T471" s="2">
        <v>45779</v>
      </c>
      <c r="U471" s="1" t="b">
        <v>0</v>
      </c>
      <c r="W471" s="1" t="b">
        <v>0</v>
      </c>
      <c r="Y471" s="1">
        <v>55</v>
      </c>
      <c r="Z471" s="1">
        <v>79</v>
      </c>
      <c r="AA471" s="1">
        <v>53</v>
      </c>
      <c r="AB471" s="1" t="b">
        <v>0</v>
      </c>
      <c r="AD471" s="1" t="b">
        <v>0</v>
      </c>
      <c r="AF471" s="1" t="s">
        <v>151</v>
      </c>
      <c r="AH471" s="1">
        <v>10</v>
      </c>
      <c r="AI471" s="1" t="s">
        <v>157</v>
      </c>
    </row>
    <row r="472" spans="1:35" ht="12.5" hidden="1" x14ac:dyDescent="0.25">
      <c r="A472" s="1">
        <v>468</v>
      </c>
      <c r="B472" s="1" t="s">
        <v>1301</v>
      </c>
      <c r="C472" s="1" t="s">
        <v>1302</v>
      </c>
      <c r="D472" s="1" t="s">
        <v>344</v>
      </c>
      <c r="E472" s="1" t="s">
        <v>38</v>
      </c>
      <c r="F472" s="1" t="s">
        <v>111</v>
      </c>
      <c r="G472" s="1" t="s">
        <v>139</v>
      </c>
      <c r="H472" s="1" t="s">
        <v>65</v>
      </c>
      <c r="I472" s="1" t="s">
        <v>42</v>
      </c>
      <c r="J472" s="1">
        <v>4.2</v>
      </c>
      <c r="K472" s="1" t="s">
        <v>128</v>
      </c>
      <c r="L472" s="1" t="s">
        <v>114</v>
      </c>
      <c r="M472" s="1" t="s">
        <v>68</v>
      </c>
      <c r="N472" s="1" t="s">
        <v>84</v>
      </c>
      <c r="O472" s="2">
        <v>45758</v>
      </c>
      <c r="P472" s="2">
        <v>45758</v>
      </c>
      <c r="Q472" s="1" t="b">
        <v>1</v>
      </c>
      <c r="R472" s="1">
        <v>1</v>
      </c>
      <c r="S472" s="1" t="b">
        <v>1</v>
      </c>
      <c r="T472" s="2">
        <v>45763</v>
      </c>
      <c r="U472" s="1" t="b">
        <v>0</v>
      </c>
      <c r="W472" s="1" t="b">
        <v>0</v>
      </c>
      <c r="Y472" s="1">
        <v>77</v>
      </c>
      <c r="Z472" s="1">
        <v>96</v>
      </c>
      <c r="AA472" s="1">
        <v>80</v>
      </c>
      <c r="AB472" s="1" t="b">
        <v>0</v>
      </c>
      <c r="AD472" s="1" t="b">
        <v>0</v>
      </c>
      <c r="AF472" s="1" t="s">
        <v>151</v>
      </c>
      <c r="AH472" s="1">
        <v>5</v>
      </c>
      <c r="AI472" s="1" t="s">
        <v>165</v>
      </c>
    </row>
    <row r="473" spans="1:35" ht="12.5" x14ac:dyDescent="0.25">
      <c r="A473" s="1">
        <v>469</v>
      </c>
      <c r="B473" s="1" t="s">
        <v>1303</v>
      </c>
      <c r="C473" s="1" t="s">
        <v>1304</v>
      </c>
      <c r="D473" s="1" t="s">
        <v>267</v>
      </c>
      <c r="E473" s="1" t="s">
        <v>38</v>
      </c>
      <c r="F473" s="1" t="s">
        <v>111</v>
      </c>
      <c r="G473" s="1" t="s">
        <v>75</v>
      </c>
      <c r="H473" s="1" t="s">
        <v>88</v>
      </c>
      <c r="I473" s="1" t="s">
        <v>42</v>
      </c>
      <c r="J473" s="1">
        <v>8.6999999999999993</v>
      </c>
      <c r="K473" s="1" t="s">
        <v>571</v>
      </c>
      <c r="L473" s="1" t="s">
        <v>67</v>
      </c>
      <c r="M473" s="1" t="s">
        <v>123</v>
      </c>
      <c r="N473" s="1" t="s">
        <v>84</v>
      </c>
      <c r="O473" s="2">
        <v>45675</v>
      </c>
      <c r="P473" s="2">
        <v>45678</v>
      </c>
      <c r="Q473" s="1" t="b">
        <v>0</v>
      </c>
      <c r="S473" s="1" t="b">
        <v>0</v>
      </c>
      <c r="U473" s="1" t="b">
        <v>0</v>
      </c>
      <c r="W473" s="1" t="b">
        <v>0</v>
      </c>
      <c r="Y473" s="1">
        <v>75</v>
      </c>
      <c r="Z473" s="1">
        <v>90</v>
      </c>
      <c r="AA473" s="1">
        <v>95</v>
      </c>
      <c r="AB473" s="1" t="b">
        <v>0</v>
      </c>
      <c r="AD473" s="1" t="b">
        <v>0</v>
      </c>
      <c r="AF473" s="1" t="s">
        <v>77</v>
      </c>
      <c r="AG473" s="1" t="s">
        <v>69</v>
      </c>
      <c r="AH473" s="1">
        <v>3</v>
      </c>
      <c r="AI473" s="1" t="s">
        <v>70</v>
      </c>
    </row>
    <row r="474" spans="1:35" ht="12.5" x14ac:dyDescent="0.25">
      <c r="A474" s="1">
        <v>470</v>
      </c>
      <c r="B474" s="1" t="s">
        <v>1305</v>
      </c>
      <c r="C474" s="1" t="s">
        <v>1306</v>
      </c>
      <c r="D474" s="1" t="s">
        <v>263</v>
      </c>
      <c r="E474" s="1" t="s">
        <v>62</v>
      </c>
      <c r="F474" s="1" t="s">
        <v>39</v>
      </c>
      <c r="G474" s="1" t="s">
        <v>75</v>
      </c>
      <c r="H474" s="1" t="s">
        <v>41</v>
      </c>
      <c r="I474" s="1" t="s">
        <v>53</v>
      </c>
      <c r="J474" s="1">
        <v>5.0999999999999996</v>
      </c>
      <c r="K474" s="1" t="s">
        <v>693</v>
      </c>
      <c r="L474" s="1" t="s">
        <v>67</v>
      </c>
      <c r="M474" s="1" t="s">
        <v>146</v>
      </c>
      <c r="N474" s="1" t="s">
        <v>116</v>
      </c>
      <c r="O474" s="2">
        <v>45756</v>
      </c>
      <c r="P474" s="2">
        <v>45756</v>
      </c>
      <c r="Q474" s="1" t="b">
        <v>0</v>
      </c>
      <c r="S474" s="1" t="b">
        <v>0</v>
      </c>
      <c r="U474" s="1" t="b">
        <v>0</v>
      </c>
      <c r="W474" s="1" t="b">
        <v>0</v>
      </c>
      <c r="Y474" s="1">
        <v>69</v>
      </c>
      <c r="Z474" s="1">
        <v>67</v>
      </c>
      <c r="AA474" s="1">
        <v>53</v>
      </c>
      <c r="AB474" s="1" t="b">
        <v>0</v>
      </c>
      <c r="AD474" s="1" t="b">
        <v>0</v>
      </c>
      <c r="AF474" s="1" t="s">
        <v>77</v>
      </c>
      <c r="AG474" s="1" t="s">
        <v>69</v>
      </c>
      <c r="AH474" s="1">
        <v>0</v>
      </c>
      <c r="AI474" s="1" t="s">
        <v>118</v>
      </c>
    </row>
    <row r="475" spans="1:35" ht="12.5" hidden="1" x14ac:dyDescent="0.25">
      <c r="A475" s="1">
        <v>471</v>
      </c>
      <c r="B475" s="1" t="s">
        <v>1307</v>
      </c>
      <c r="C475" s="1" t="s">
        <v>1308</v>
      </c>
      <c r="D475" s="1" t="s">
        <v>598</v>
      </c>
      <c r="E475" s="1" t="s">
        <v>38</v>
      </c>
      <c r="F475" s="1" t="s">
        <v>74</v>
      </c>
      <c r="G475" s="1" t="s">
        <v>97</v>
      </c>
      <c r="H475" s="1" t="s">
        <v>88</v>
      </c>
      <c r="I475" s="1" t="s">
        <v>42</v>
      </c>
      <c r="J475" s="1">
        <v>6.1</v>
      </c>
      <c r="K475" s="1" t="s">
        <v>885</v>
      </c>
      <c r="L475" s="1" t="s">
        <v>114</v>
      </c>
      <c r="M475" s="1" t="s">
        <v>45</v>
      </c>
      <c r="N475" s="1" t="s">
        <v>92</v>
      </c>
      <c r="O475" s="2">
        <v>45693</v>
      </c>
      <c r="P475" s="2">
        <v>45698</v>
      </c>
      <c r="Q475" s="1" t="b">
        <v>1</v>
      </c>
      <c r="R475" s="1">
        <v>5</v>
      </c>
      <c r="S475" s="1" t="b">
        <v>1</v>
      </c>
      <c r="T475" s="2">
        <v>45708</v>
      </c>
      <c r="U475" s="1" t="b">
        <v>1</v>
      </c>
      <c r="V475" s="2">
        <v>45721</v>
      </c>
      <c r="W475" s="1" t="b">
        <v>1</v>
      </c>
      <c r="X475" s="2">
        <v>45727</v>
      </c>
      <c r="Y475" s="1">
        <v>75</v>
      </c>
      <c r="Z475" s="1">
        <v>60</v>
      </c>
      <c r="AA475" s="1">
        <v>58</v>
      </c>
      <c r="AB475" s="1" t="b">
        <v>0</v>
      </c>
      <c r="AD475" s="1" t="b">
        <v>0</v>
      </c>
      <c r="AF475" s="1" t="s">
        <v>47</v>
      </c>
      <c r="AG475" s="1" t="s">
        <v>207</v>
      </c>
      <c r="AH475" s="1">
        <v>34</v>
      </c>
      <c r="AI475" s="1" t="s">
        <v>165</v>
      </c>
    </row>
    <row r="476" spans="1:35" ht="12.5" x14ac:dyDescent="0.25">
      <c r="A476" s="1">
        <v>472</v>
      </c>
      <c r="B476" s="1" t="s">
        <v>1309</v>
      </c>
      <c r="C476" s="1" t="s">
        <v>1310</v>
      </c>
      <c r="D476" s="1" t="s">
        <v>199</v>
      </c>
      <c r="E476" s="1" t="s">
        <v>62</v>
      </c>
      <c r="F476" s="1" t="s">
        <v>74</v>
      </c>
      <c r="G476" s="1" t="s">
        <v>139</v>
      </c>
      <c r="H476" s="1" t="s">
        <v>65</v>
      </c>
      <c r="I476" s="1" t="s">
        <v>42</v>
      </c>
      <c r="J476" s="1">
        <v>6.8</v>
      </c>
      <c r="K476" s="1" t="s">
        <v>175</v>
      </c>
      <c r="L476" s="1" t="s">
        <v>141</v>
      </c>
      <c r="M476" s="1" t="s">
        <v>129</v>
      </c>
      <c r="N476" s="1" t="s">
        <v>92</v>
      </c>
      <c r="O476" s="2">
        <v>45726</v>
      </c>
      <c r="P476" s="2">
        <v>45730</v>
      </c>
      <c r="Q476" s="1" t="b">
        <v>0</v>
      </c>
      <c r="S476" s="1" t="b">
        <v>0</v>
      </c>
      <c r="U476" s="1" t="b">
        <v>0</v>
      </c>
      <c r="W476" s="1" t="b">
        <v>0</v>
      </c>
      <c r="Y476" s="1">
        <v>87</v>
      </c>
      <c r="Z476" s="1">
        <v>90</v>
      </c>
      <c r="AA476" s="1">
        <v>93</v>
      </c>
      <c r="AB476" s="1" t="b">
        <v>0</v>
      </c>
      <c r="AD476" s="1" t="b">
        <v>0</v>
      </c>
      <c r="AF476" s="1" t="s">
        <v>77</v>
      </c>
      <c r="AG476" s="1" t="s">
        <v>69</v>
      </c>
      <c r="AH476" s="1">
        <v>4</v>
      </c>
      <c r="AI476" s="1" t="s">
        <v>135</v>
      </c>
    </row>
    <row r="477" spans="1:35" ht="12.5" x14ac:dyDescent="0.25">
      <c r="A477" s="1">
        <v>473</v>
      </c>
      <c r="B477" s="1" t="s">
        <v>1311</v>
      </c>
      <c r="C477" s="1" t="s">
        <v>1312</v>
      </c>
      <c r="D477" s="1" t="s">
        <v>348</v>
      </c>
      <c r="E477" s="1" t="s">
        <v>62</v>
      </c>
      <c r="F477" s="1" t="s">
        <v>74</v>
      </c>
      <c r="G477" s="1" t="s">
        <v>112</v>
      </c>
      <c r="H477" s="1" t="s">
        <v>88</v>
      </c>
      <c r="I477" s="1" t="s">
        <v>82</v>
      </c>
      <c r="J477" s="1">
        <v>1.3</v>
      </c>
      <c r="K477" s="1" t="s">
        <v>449</v>
      </c>
      <c r="L477" s="1" t="s">
        <v>90</v>
      </c>
      <c r="M477" s="1" t="s">
        <v>91</v>
      </c>
      <c r="N477" s="1" t="s">
        <v>84</v>
      </c>
      <c r="O477" s="2">
        <v>45741</v>
      </c>
      <c r="P477" s="2">
        <v>45742</v>
      </c>
      <c r="Q477" s="1" t="b">
        <v>0</v>
      </c>
      <c r="S477" s="1" t="b">
        <v>0</v>
      </c>
      <c r="U477" s="1" t="b">
        <v>0</v>
      </c>
      <c r="W477" s="1" t="b">
        <v>0</v>
      </c>
      <c r="Y477" s="1">
        <v>79</v>
      </c>
      <c r="Z477" s="1">
        <v>67</v>
      </c>
      <c r="AA477" s="1">
        <v>64</v>
      </c>
      <c r="AB477" s="1" t="b">
        <v>0</v>
      </c>
      <c r="AD477" s="1" t="b">
        <v>0</v>
      </c>
      <c r="AF477" s="1" t="s">
        <v>77</v>
      </c>
      <c r="AG477" s="1" t="s">
        <v>69</v>
      </c>
      <c r="AH477" s="1">
        <v>1</v>
      </c>
      <c r="AI477" s="1" t="s">
        <v>93</v>
      </c>
    </row>
    <row r="478" spans="1:35" ht="12.5" x14ac:dyDescent="0.25">
      <c r="A478" s="1">
        <v>474</v>
      </c>
      <c r="B478" s="1" t="s">
        <v>1313</v>
      </c>
      <c r="C478" s="1" t="s">
        <v>1314</v>
      </c>
      <c r="D478" s="1" t="s">
        <v>1014</v>
      </c>
      <c r="E478" s="1" t="s">
        <v>62</v>
      </c>
      <c r="F478" s="1" t="s">
        <v>39</v>
      </c>
      <c r="G478" s="1" t="s">
        <v>75</v>
      </c>
      <c r="H478" s="1" t="s">
        <v>65</v>
      </c>
      <c r="I478" s="1" t="s">
        <v>42</v>
      </c>
      <c r="J478" s="1">
        <v>7.5</v>
      </c>
      <c r="K478" s="1" t="s">
        <v>76</v>
      </c>
      <c r="L478" s="1" t="s">
        <v>114</v>
      </c>
      <c r="M478" s="1" t="s">
        <v>146</v>
      </c>
      <c r="N478" s="1" t="s">
        <v>46</v>
      </c>
      <c r="O478" s="2">
        <v>45724</v>
      </c>
      <c r="P478" s="2">
        <v>45729</v>
      </c>
      <c r="Q478" s="1" t="b">
        <v>0</v>
      </c>
      <c r="S478" s="1" t="b">
        <v>0</v>
      </c>
      <c r="U478" s="1" t="b">
        <v>0</v>
      </c>
      <c r="W478" s="1" t="b">
        <v>0</v>
      </c>
      <c r="Y478" s="1">
        <v>64</v>
      </c>
      <c r="Z478" s="1">
        <v>66</v>
      </c>
      <c r="AA478" s="1">
        <v>75</v>
      </c>
      <c r="AB478" s="1" t="b">
        <v>0</v>
      </c>
      <c r="AD478" s="1" t="b">
        <v>0</v>
      </c>
      <c r="AF478" s="1" t="s">
        <v>77</v>
      </c>
      <c r="AG478" s="1" t="s">
        <v>69</v>
      </c>
      <c r="AH478" s="1">
        <v>5</v>
      </c>
      <c r="AI478" s="1" t="s">
        <v>215</v>
      </c>
    </row>
    <row r="479" spans="1:35" ht="12.5" hidden="1" x14ac:dyDescent="0.25">
      <c r="A479" s="1">
        <v>475</v>
      </c>
      <c r="B479" s="1" t="s">
        <v>874</v>
      </c>
      <c r="C479" s="1" t="s">
        <v>1315</v>
      </c>
      <c r="D479" s="1" t="s">
        <v>359</v>
      </c>
      <c r="E479" s="1" t="s">
        <v>38</v>
      </c>
      <c r="F479" s="1" t="s">
        <v>39</v>
      </c>
      <c r="G479" s="1" t="s">
        <v>112</v>
      </c>
      <c r="H479" s="1" t="s">
        <v>88</v>
      </c>
      <c r="I479" s="1" t="s">
        <v>82</v>
      </c>
      <c r="J479" s="1">
        <v>0.7</v>
      </c>
      <c r="K479" s="1" t="s">
        <v>1316</v>
      </c>
      <c r="L479" s="1" t="s">
        <v>55</v>
      </c>
      <c r="M479" s="1" t="s">
        <v>115</v>
      </c>
      <c r="N479" s="1" t="s">
        <v>116</v>
      </c>
      <c r="O479" s="2">
        <v>45761</v>
      </c>
      <c r="P479" s="2">
        <v>45763</v>
      </c>
      <c r="Q479" s="1" t="b">
        <v>1</v>
      </c>
      <c r="R479" s="1">
        <v>10</v>
      </c>
      <c r="S479" s="1" t="b">
        <v>1</v>
      </c>
      <c r="T479" s="2">
        <v>45766</v>
      </c>
      <c r="U479" s="1" t="b">
        <v>0</v>
      </c>
      <c r="W479" s="1" t="b">
        <v>0</v>
      </c>
      <c r="Y479" s="1">
        <v>56</v>
      </c>
      <c r="Z479" s="1">
        <v>65</v>
      </c>
      <c r="AA479" s="1">
        <v>57</v>
      </c>
      <c r="AB479" s="1" t="b">
        <v>0</v>
      </c>
      <c r="AD479" s="1" t="b">
        <v>0</v>
      </c>
      <c r="AF479" s="1" t="s">
        <v>151</v>
      </c>
      <c r="AG479" s="1" t="s">
        <v>234</v>
      </c>
      <c r="AH479" s="1">
        <v>5</v>
      </c>
      <c r="AI479" s="1" t="s">
        <v>93</v>
      </c>
    </row>
    <row r="480" spans="1:35" ht="12.5" hidden="1" x14ac:dyDescent="0.25">
      <c r="A480" s="1">
        <v>476</v>
      </c>
      <c r="B480" s="1" t="s">
        <v>1317</v>
      </c>
      <c r="C480" s="1" t="s">
        <v>1318</v>
      </c>
      <c r="D480" s="1" t="s">
        <v>623</v>
      </c>
      <c r="E480" s="1" t="s">
        <v>52</v>
      </c>
      <c r="F480" s="1" t="s">
        <v>63</v>
      </c>
      <c r="G480" s="1" t="s">
        <v>139</v>
      </c>
      <c r="H480" s="1" t="s">
        <v>41</v>
      </c>
      <c r="I480" s="1" t="s">
        <v>82</v>
      </c>
      <c r="J480" s="1">
        <v>2.2000000000000002</v>
      </c>
      <c r="K480" s="1" t="s">
        <v>1268</v>
      </c>
      <c r="L480" s="1" t="s">
        <v>141</v>
      </c>
      <c r="M480" s="1" t="s">
        <v>45</v>
      </c>
      <c r="N480" s="1" t="s">
        <v>92</v>
      </c>
      <c r="O480" s="2">
        <v>45709</v>
      </c>
      <c r="P480" s="2">
        <v>45715</v>
      </c>
      <c r="Q480" s="1" t="b">
        <v>1</v>
      </c>
      <c r="R480" s="1">
        <v>6</v>
      </c>
      <c r="S480" s="1" t="b">
        <v>1</v>
      </c>
      <c r="T480" s="2">
        <v>45717</v>
      </c>
      <c r="U480" s="1" t="b">
        <v>0</v>
      </c>
      <c r="W480" s="1" t="b">
        <v>0</v>
      </c>
      <c r="Y480" s="1">
        <v>77</v>
      </c>
      <c r="Z480" s="1">
        <v>66</v>
      </c>
      <c r="AA480" s="1">
        <v>81</v>
      </c>
      <c r="AB480" s="1" t="b">
        <v>0</v>
      </c>
      <c r="AD480" s="1" t="b">
        <v>0</v>
      </c>
      <c r="AF480" s="1" t="s">
        <v>151</v>
      </c>
      <c r="AG480" s="1" t="s">
        <v>176</v>
      </c>
      <c r="AH480" s="1">
        <v>8</v>
      </c>
      <c r="AI480" s="1" t="s">
        <v>58</v>
      </c>
    </row>
    <row r="481" spans="1:35" ht="12.5" hidden="1" x14ac:dyDescent="0.25">
      <c r="A481" s="1">
        <v>477</v>
      </c>
      <c r="B481" s="1" t="s">
        <v>1319</v>
      </c>
      <c r="C481" s="1" t="s">
        <v>1320</v>
      </c>
      <c r="D481" s="1" t="s">
        <v>1321</v>
      </c>
      <c r="E481" s="1" t="s">
        <v>102</v>
      </c>
      <c r="F481" s="1" t="s">
        <v>111</v>
      </c>
      <c r="G481" s="1" t="s">
        <v>64</v>
      </c>
      <c r="H481" s="1" t="s">
        <v>65</v>
      </c>
      <c r="I481" s="1" t="s">
        <v>42</v>
      </c>
      <c r="J481" s="1">
        <v>6.1</v>
      </c>
      <c r="K481" s="1" t="s">
        <v>368</v>
      </c>
      <c r="L481" s="1" t="s">
        <v>114</v>
      </c>
      <c r="M481" s="1" t="s">
        <v>91</v>
      </c>
      <c r="N481" s="1" t="s">
        <v>46</v>
      </c>
      <c r="O481" s="2">
        <v>45679</v>
      </c>
      <c r="P481" s="2">
        <v>45679</v>
      </c>
      <c r="Q481" s="1" t="b">
        <v>1</v>
      </c>
      <c r="R481" s="1">
        <v>12</v>
      </c>
      <c r="S481" s="1" t="b">
        <v>1</v>
      </c>
      <c r="T481" s="2">
        <v>45684</v>
      </c>
      <c r="U481" s="1" t="b">
        <v>1</v>
      </c>
      <c r="V481" s="2">
        <v>45690</v>
      </c>
      <c r="W481" s="1" t="b">
        <v>0</v>
      </c>
      <c r="Y481" s="1">
        <v>72</v>
      </c>
      <c r="Z481" s="1">
        <v>75</v>
      </c>
      <c r="AA481" s="1">
        <v>67</v>
      </c>
      <c r="AB481" s="1" t="b">
        <v>0</v>
      </c>
      <c r="AD481" s="1" t="b">
        <v>0</v>
      </c>
      <c r="AF481" s="1" t="s">
        <v>105</v>
      </c>
      <c r="AH481" s="1">
        <v>11</v>
      </c>
      <c r="AI481" s="1" t="s">
        <v>70</v>
      </c>
    </row>
    <row r="482" spans="1:35" ht="12.5" x14ac:dyDescent="0.25">
      <c r="A482" s="1">
        <v>478</v>
      </c>
      <c r="B482" s="1" t="s">
        <v>1322</v>
      </c>
      <c r="C482" s="1" t="s">
        <v>1323</v>
      </c>
      <c r="D482" s="1" t="s">
        <v>836</v>
      </c>
      <c r="E482" s="1" t="s">
        <v>52</v>
      </c>
      <c r="F482" s="1" t="s">
        <v>39</v>
      </c>
      <c r="G482" s="1" t="s">
        <v>139</v>
      </c>
      <c r="H482" s="1" t="s">
        <v>41</v>
      </c>
      <c r="I482" s="1" t="s">
        <v>82</v>
      </c>
      <c r="J482" s="1">
        <v>1</v>
      </c>
      <c r="K482" s="1" t="s">
        <v>374</v>
      </c>
      <c r="L482" s="1" t="s">
        <v>114</v>
      </c>
      <c r="M482" s="1" t="s">
        <v>56</v>
      </c>
      <c r="N482" s="1" t="s">
        <v>116</v>
      </c>
      <c r="O482" s="2">
        <v>45780</v>
      </c>
      <c r="P482" s="2">
        <v>45780</v>
      </c>
      <c r="Q482" s="1" t="b">
        <v>1</v>
      </c>
      <c r="R482" s="1">
        <v>10</v>
      </c>
      <c r="S482" s="1" t="b">
        <v>1</v>
      </c>
      <c r="T482" s="2">
        <v>45782</v>
      </c>
      <c r="U482" s="1" t="b">
        <v>1</v>
      </c>
      <c r="V482" s="2">
        <v>45794</v>
      </c>
      <c r="W482" s="1" t="b">
        <v>1</v>
      </c>
      <c r="X482" s="2">
        <v>45795</v>
      </c>
      <c r="Y482" s="1">
        <v>73</v>
      </c>
      <c r="Z482" s="1">
        <v>55</v>
      </c>
      <c r="AA482" s="1">
        <v>77</v>
      </c>
      <c r="AB482" s="1" t="b">
        <v>0</v>
      </c>
      <c r="AD482" s="1" t="b">
        <v>0</v>
      </c>
      <c r="AF482" s="1" t="s">
        <v>47</v>
      </c>
      <c r="AG482" s="1" t="s">
        <v>69</v>
      </c>
      <c r="AH482" s="1">
        <v>15</v>
      </c>
      <c r="AI482" s="1" t="s">
        <v>48</v>
      </c>
    </row>
    <row r="483" spans="1:35" ht="12.5" x14ac:dyDescent="0.25">
      <c r="A483" s="1">
        <v>479</v>
      </c>
      <c r="B483" s="1" t="s">
        <v>1324</v>
      </c>
      <c r="C483" s="1" t="s">
        <v>1325</v>
      </c>
      <c r="D483" s="1" t="s">
        <v>352</v>
      </c>
      <c r="E483" s="1" t="s">
        <v>52</v>
      </c>
      <c r="F483" s="1" t="s">
        <v>63</v>
      </c>
      <c r="G483" s="1" t="s">
        <v>40</v>
      </c>
      <c r="H483" s="1" t="s">
        <v>88</v>
      </c>
      <c r="I483" s="1" t="s">
        <v>42</v>
      </c>
      <c r="J483" s="1">
        <v>9.4</v>
      </c>
      <c r="K483" s="1" t="s">
        <v>876</v>
      </c>
      <c r="L483" s="1" t="s">
        <v>67</v>
      </c>
      <c r="M483" s="1" t="s">
        <v>129</v>
      </c>
      <c r="N483" s="1" t="s">
        <v>84</v>
      </c>
      <c r="O483" s="2">
        <v>45704</v>
      </c>
      <c r="P483" s="2">
        <v>45706</v>
      </c>
      <c r="Q483" s="1" t="b">
        <v>0</v>
      </c>
      <c r="S483" s="1" t="b">
        <v>0</v>
      </c>
      <c r="U483" s="1" t="b">
        <v>0</v>
      </c>
      <c r="W483" s="1" t="b">
        <v>0</v>
      </c>
      <c r="Y483" s="1">
        <v>78</v>
      </c>
      <c r="Z483" s="1">
        <v>74</v>
      </c>
      <c r="AA483" s="1">
        <v>83</v>
      </c>
      <c r="AB483" s="1" t="b">
        <v>0</v>
      </c>
      <c r="AD483" s="1" t="b">
        <v>0</v>
      </c>
      <c r="AF483" s="1" t="s">
        <v>77</v>
      </c>
      <c r="AG483" s="1" t="s">
        <v>69</v>
      </c>
      <c r="AH483" s="1">
        <v>2</v>
      </c>
      <c r="AI483" s="1" t="s">
        <v>215</v>
      </c>
    </row>
    <row r="484" spans="1:35" ht="12.5" hidden="1" x14ac:dyDescent="0.25">
      <c r="A484" s="1">
        <v>480</v>
      </c>
      <c r="B484" s="1" t="s">
        <v>1326</v>
      </c>
      <c r="C484" s="1" t="s">
        <v>1327</v>
      </c>
      <c r="D484" s="1" t="s">
        <v>827</v>
      </c>
      <c r="E484" s="1" t="s">
        <v>38</v>
      </c>
      <c r="F484" s="1" t="s">
        <v>63</v>
      </c>
      <c r="G484" s="1" t="s">
        <v>97</v>
      </c>
      <c r="H484" s="1" t="s">
        <v>88</v>
      </c>
      <c r="I484" s="1" t="s">
        <v>82</v>
      </c>
      <c r="J484" s="1">
        <v>1.1000000000000001</v>
      </c>
      <c r="K484" s="1" t="s">
        <v>412</v>
      </c>
      <c r="L484" s="1" t="s">
        <v>114</v>
      </c>
      <c r="M484" s="1" t="s">
        <v>45</v>
      </c>
      <c r="N484" s="1" t="s">
        <v>46</v>
      </c>
      <c r="O484" s="2">
        <v>45722</v>
      </c>
      <c r="P484" s="2">
        <v>45727</v>
      </c>
      <c r="Q484" s="1" t="b">
        <v>1</v>
      </c>
      <c r="R484" s="1">
        <v>1</v>
      </c>
      <c r="S484" s="1" t="b">
        <v>1</v>
      </c>
      <c r="T484" s="2">
        <v>45731</v>
      </c>
      <c r="U484" s="1" t="b">
        <v>1</v>
      </c>
      <c r="V484" s="2">
        <v>45734</v>
      </c>
      <c r="W484" s="1" t="b">
        <v>1</v>
      </c>
      <c r="X484" s="2">
        <v>45738</v>
      </c>
      <c r="Y484" s="1">
        <v>58</v>
      </c>
      <c r="Z484" s="1">
        <v>80</v>
      </c>
      <c r="AA484" s="1">
        <v>77</v>
      </c>
      <c r="AB484" s="1" t="b">
        <v>0</v>
      </c>
      <c r="AD484" s="1" t="b">
        <v>0</v>
      </c>
      <c r="AF484" s="1" t="s">
        <v>47</v>
      </c>
      <c r="AH484" s="1">
        <v>16</v>
      </c>
      <c r="AI484" s="1" t="s">
        <v>135</v>
      </c>
    </row>
    <row r="485" spans="1:35" ht="12.5" x14ac:dyDescent="0.25">
      <c r="A485" s="1">
        <v>481</v>
      </c>
      <c r="B485" s="1" t="s">
        <v>1328</v>
      </c>
      <c r="C485" s="1" t="s">
        <v>1329</v>
      </c>
      <c r="D485" s="1" t="s">
        <v>138</v>
      </c>
      <c r="E485" s="1" t="s">
        <v>62</v>
      </c>
      <c r="F485" s="1" t="s">
        <v>74</v>
      </c>
      <c r="G485" s="1" t="s">
        <v>97</v>
      </c>
      <c r="H485" s="1" t="s">
        <v>41</v>
      </c>
      <c r="I485" s="1" t="s">
        <v>53</v>
      </c>
      <c r="J485" s="1">
        <v>3.9</v>
      </c>
      <c r="K485" s="1" t="s">
        <v>1330</v>
      </c>
      <c r="L485" s="1" t="s">
        <v>44</v>
      </c>
      <c r="M485" s="1" t="s">
        <v>115</v>
      </c>
      <c r="N485" s="1" t="s">
        <v>84</v>
      </c>
      <c r="O485" s="2">
        <v>45785</v>
      </c>
      <c r="P485" s="2">
        <v>45787</v>
      </c>
      <c r="Q485" s="1" t="b">
        <v>0</v>
      </c>
      <c r="S485" s="1" t="b">
        <v>0</v>
      </c>
      <c r="U485" s="1" t="b">
        <v>0</v>
      </c>
      <c r="W485" s="1" t="b">
        <v>0</v>
      </c>
      <c r="Y485" s="1">
        <v>84</v>
      </c>
      <c r="Z485" s="1">
        <v>65</v>
      </c>
      <c r="AA485" s="1">
        <v>77</v>
      </c>
      <c r="AB485" s="1" t="b">
        <v>0</v>
      </c>
      <c r="AD485" s="1" t="b">
        <v>0</v>
      </c>
      <c r="AF485" s="1" t="s">
        <v>77</v>
      </c>
      <c r="AG485" s="1" t="s">
        <v>69</v>
      </c>
      <c r="AH485" s="1">
        <v>2</v>
      </c>
      <c r="AI485" s="1" t="s">
        <v>93</v>
      </c>
    </row>
    <row r="486" spans="1:35" ht="12.5" hidden="1" x14ac:dyDescent="0.25">
      <c r="A486" s="1">
        <v>482</v>
      </c>
      <c r="B486" s="1" t="s">
        <v>1331</v>
      </c>
      <c r="C486" s="1" t="s">
        <v>1332</v>
      </c>
      <c r="D486" s="1" t="s">
        <v>714</v>
      </c>
      <c r="E486" s="1" t="s">
        <v>38</v>
      </c>
      <c r="F486" s="1" t="s">
        <v>74</v>
      </c>
      <c r="G486" s="1" t="s">
        <v>97</v>
      </c>
      <c r="H486" s="1" t="s">
        <v>65</v>
      </c>
      <c r="I486" s="1" t="s">
        <v>42</v>
      </c>
      <c r="J486" s="1">
        <v>7.8</v>
      </c>
      <c r="K486" s="1" t="s">
        <v>54</v>
      </c>
      <c r="L486" s="1" t="s">
        <v>44</v>
      </c>
      <c r="M486" s="1" t="s">
        <v>91</v>
      </c>
      <c r="N486" s="1" t="s">
        <v>116</v>
      </c>
      <c r="O486" s="2">
        <v>45785</v>
      </c>
      <c r="P486" s="2">
        <v>45785</v>
      </c>
      <c r="Q486" s="1" t="b">
        <v>1</v>
      </c>
      <c r="R486" s="1">
        <v>7</v>
      </c>
      <c r="S486" s="1" t="b">
        <v>1</v>
      </c>
      <c r="T486" s="2">
        <v>45794</v>
      </c>
      <c r="U486" s="1" t="b">
        <v>1</v>
      </c>
      <c r="V486" s="2">
        <v>45800</v>
      </c>
      <c r="W486" s="1" t="b">
        <v>0</v>
      </c>
      <c r="Y486" s="1">
        <v>87</v>
      </c>
      <c r="Z486" s="1">
        <v>80</v>
      </c>
      <c r="AA486" s="1">
        <v>79</v>
      </c>
      <c r="AB486" s="1" t="b">
        <v>0</v>
      </c>
      <c r="AD486" s="1" t="b">
        <v>0</v>
      </c>
      <c r="AF486" s="1" t="s">
        <v>105</v>
      </c>
      <c r="AH486" s="1">
        <v>15</v>
      </c>
      <c r="AI486" s="1" t="s">
        <v>70</v>
      </c>
    </row>
    <row r="487" spans="1:35" ht="12.5" hidden="1" x14ac:dyDescent="0.25">
      <c r="A487" s="1">
        <v>483</v>
      </c>
      <c r="B487" s="1" t="s">
        <v>1333</v>
      </c>
      <c r="C487" s="1" t="s">
        <v>1334</v>
      </c>
      <c r="D487" s="1" t="s">
        <v>241</v>
      </c>
      <c r="E487" s="1" t="s">
        <v>38</v>
      </c>
      <c r="F487" s="1" t="s">
        <v>74</v>
      </c>
      <c r="G487" s="1" t="s">
        <v>75</v>
      </c>
      <c r="H487" s="1" t="s">
        <v>88</v>
      </c>
      <c r="I487" s="1" t="s">
        <v>42</v>
      </c>
      <c r="J487" s="1">
        <v>7.8</v>
      </c>
      <c r="K487" s="1" t="s">
        <v>769</v>
      </c>
      <c r="L487" s="1" t="s">
        <v>67</v>
      </c>
      <c r="M487" s="1" t="s">
        <v>91</v>
      </c>
      <c r="N487" s="1" t="s">
        <v>116</v>
      </c>
      <c r="O487" s="2">
        <v>45730</v>
      </c>
      <c r="P487" s="2">
        <v>45735</v>
      </c>
      <c r="Q487" s="1" t="b">
        <v>1</v>
      </c>
      <c r="R487" s="1">
        <v>5</v>
      </c>
      <c r="S487" s="1" t="b">
        <v>1</v>
      </c>
      <c r="T487" s="2">
        <v>45741</v>
      </c>
      <c r="U487" s="1" t="b">
        <v>0</v>
      </c>
      <c r="W487" s="1" t="b">
        <v>0</v>
      </c>
      <c r="Y487" s="1">
        <v>50</v>
      </c>
      <c r="Z487" s="1">
        <v>87</v>
      </c>
      <c r="AA487" s="1">
        <v>80</v>
      </c>
      <c r="AB487" s="1" t="b">
        <v>0</v>
      </c>
      <c r="AD487" s="1" t="b">
        <v>0</v>
      </c>
      <c r="AF487" s="1" t="s">
        <v>151</v>
      </c>
      <c r="AH487" s="1">
        <v>11</v>
      </c>
      <c r="AI487" s="1" t="s">
        <v>70</v>
      </c>
    </row>
    <row r="488" spans="1:35" ht="12.5" hidden="1" x14ac:dyDescent="0.25">
      <c r="A488" s="1">
        <v>484</v>
      </c>
      <c r="B488" s="1" t="s">
        <v>1335</v>
      </c>
      <c r="C488" s="1" t="s">
        <v>1336</v>
      </c>
      <c r="D488" s="1" t="s">
        <v>598</v>
      </c>
      <c r="E488" s="1" t="s">
        <v>102</v>
      </c>
      <c r="F488" s="1" t="s">
        <v>74</v>
      </c>
      <c r="G488" s="1" t="s">
        <v>112</v>
      </c>
      <c r="H488" s="1" t="s">
        <v>41</v>
      </c>
      <c r="I488" s="1" t="s">
        <v>53</v>
      </c>
      <c r="J488" s="1">
        <v>6.4</v>
      </c>
      <c r="K488" s="1" t="s">
        <v>222</v>
      </c>
      <c r="L488" s="1" t="s">
        <v>90</v>
      </c>
      <c r="M488" s="1" t="s">
        <v>115</v>
      </c>
      <c r="N488" s="1" t="s">
        <v>46</v>
      </c>
      <c r="O488" s="2">
        <v>45701</v>
      </c>
      <c r="P488" s="2">
        <v>45703</v>
      </c>
      <c r="Q488" s="1" t="b">
        <v>1</v>
      </c>
      <c r="R488" s="1">
        <v>1</v>
      </c>
      <c r="S488" s="1" t="b">
        <v>1</v>
      </c>
      <c r="T488" s="2">
        <v>45708</v>
      </c>
      <c r="U488" s="1" t="b">
        <v>0</v>
      </c>
      <c r="W488" s="1" t="b">
        <v>0</v>
      </c>
      <c r="Y488" s="1">
        <v>77</v>
      </c>
      <c r="Z488" s="1">
        <v>85</v>
      </c>
      <c r="AA488" s="1">
        <v>81</v>
      </c>
      <c r="AB488" s="1" t="b">
        <v>0</v>
      </c>
      <c r="AD488" s="1" t="b">
        <v>0</v>
      </c>
      <c r="AF488" s="1" t="s">
        <v>151</v>
      </c>
      <c r="AH488" s="1">
        <v>7</v>
      </c>
      <c r="AI488" s="1" t="s">
        <v>70</v>
      </c>
    </row>
    <row r="489" spans="1:35" ht="12.5" x14ac:dyDescent="0.25">
      <c r="A489" s="1">
        <v>485</v>
      </c>
      <c r="B489" s="1" t="s">
        <v>1337</v>
      </c>
      <c r="C489" s="1" t="s">
        <v>1338</v>
      </c>
      <c r="D489" s="1" t="s">
        <v>149</v>
      </c>
      <c r="E489" s="1" t="s">
        <v>102</v>
      </c>
      <c r="F489" s="1" t="s">
        <v>111</v>
      </c>
      <c r="G489" s="1" t="s">
        <v>112</v>
      </c>
      <c r="H489" s="1" t="s">
        <v>65</v>
      </c>
      <c r="I489" s="1" t="s">
        <v>53</v>
      </c>
      <c r="J489" s="1">
        <v>3.8</v>
      </c>
      <c r="K489" s="1" t="s">
        <v>543</v>
      </c>
      <c r="L489" s="1" t="s">
        <v>44</v>
      </c>
      <c r="M489" s="1" t="s">
        <v>115</v>
      </c>
      <c r="N489" s="1" t="s">
        <v>92</v>
      </c>
      <c r="O489" s="2">
        <v>45783</v>
      </c>
      <c r="P489" s="2">
        <v>45786</v>
      </c>
      <c r="Q489" s="1" t="b">
        <v>0</v>
      </c>
      <c r="S489" s="1" t="b">
        <v>0</v>
      </c>
      <c r="U489" s="1" t="b">
        <v>0</v>
      </c>
      <c r="W489" s="1" t="b">
        <v>0</v>
      </c>
      <c r="Y489" s="1">
        <v>63</v>
      </c>
      <c r="Z489" s="1">
        <v>50</v>
      </c>
      <c r="AA489" s="1">
        <v>52</v>
      </c>
      <c r="AB489" s="1" t="b">
        <v>0</v>
      </c>
      <c r="AD489" s="1" t="b">
        <v>0</v>
      </c>
      <c r="AF489" s="1" t="s">
        <v>77</v>
      </c>
      <c r="AG489" s="1" t="s">
        <v>69</v>
      </c>
      <c r="AH489" s="1">
        <v>3</v>
      </c>
      <c r="AI489" s="1" t="s">
        <v>118</v>
      </c>
    </row>
    <row r="490" spans="1:35" ht="12.5" hidden="1" x14ac:dyDescent="0.25">
      <c r="A490" s="1">
        <v>486</v>
      </c>
      <c r="B490" s="1" t="s">
        <v>1339</v>
      </c>
      <c r="C490" s="1" t="s">
        <v>1340</v>
      </c>
      <c r="D490" s="1" t="s">
        <v>179</v>
      </c>
      <c r="E490" s="1" t="s">
        <v>52</v>
      </c>
      <c r="F490" s="1" t="s">
        <v>39</v>
      </c>
      <c r="G490" s="1" t="s">
        <v>139</v>
      </c>
      <c r="H490" s="1" t="s">
        <v>88</v>
      </c>
      <c r="I490" s="1" t="s">
        <v>42</v>
      </c>
      <c r="J490" s="1">
        <v>7.2</v>
      </c>
      <c r="K490" s="1" t="s">
        <v>233</v>
      </c>
      <c r="L490" s="1" t="s">
        <v>44</v>
      </c>
      <c r="M490" s="1" t="s">
        <v>129</v>
      </c>
      <c r="N490" s="1" t="s">
        <v>84</v>
      </c>
      <c r="O490" s="2">
        <v>45749</v>
      </c>
      <c r="P490" s="2">
        <v>45753</v>
      </c>
      <c r="Q490" s="1" t="b">
        <v>1</v>
      </c>
      <c r="R490" s="1">
        <v>6</v>
      </c>
      <c r="S490" s="1" t="b">
        <v>1</v>
      </c>
      <c r="T490" s="2">
        <v>45756</v>
      </c>
      <c r="U490" s="1" t="b">
        <v>1</v>
      </c>
      <c r="V490" s="2">
        <v>45764</v>
      </c>
      <c r="W490" s="1" t="b">
        <v>1</v>
      </c>
      <c r="X490" s="2">
        <v>45768</v>
      </c>
      <c r="Y490" s="1">
        <v>68</v>
      </c>
      <c r="Z490" s="1">
        <v>60</v>
      </c>
      <c r="AA490" s="1">
        <v>56</v>
      </c>
      <c r="AB490" s="1" t="b">
        <v>0</v>
      </c>
      <c r="AD490" s="1" t="b">
        <v>0</v>
      </c>
      <c r="AF490" s="1" t="s">
        <v>47</v>
      </c>
      <c r="AG490" s="1" t="s">
        <v>117</v>
      </c>
      <c r="AH490" s="1">
        <v>19</v>
      </c>
      <c r="AI490" s="1" t="s">
        <v>70</v>
      </c>
    </row>
    <row r="491" spans="1:35" ht="12.5" x14ac:dyDescent="0.25">
      <c r="A491" s="1">
        <v>487</v>
      </c>
      <c r="B491" s="1" t="s">
        <v>1341</v>
      </c>
      <c r="C491" s="1" t="s">
        <v>1342</v>
      </c>
      <c r="D491" s="1" t="s">
        <v>293</v>
      </c>
      <c r="E491" s="1" t="s">
        <v>38</v>
      </c>
      <c r="F491" s="1" t="s">
        <v>63</v>
      </c>
      <c r="G491" s="1" t="s">
        <v>97</v>
      </c>
      <c r="H491" s="1" t="s">
        <v>88</v>
      </c>
      <c r="I491" s="1" t="s">
        <v>42</v>
      </c>
      <c r="J491" s="1">
        <v>9</v>
      </c>
      <c r="K491" s="1" t="s">
        <v>1330</v>
      </c>
      <c r="L491" s="1" t="s">
        <v>141</v>
      </c>
      <c r="M491" s="1" t="s">
        <v>56</v>
      </c>
      <c r="N491" s="1" t="s">
        <v>46</v>
      </c>
      <c r="O491" s="2">
        <v>45721</v>
      </c>
      <c r="P491" s="2">
        <v>45721</v>
      </c>
      <c r="Q491" s="1" t="b">
        <v>0</v>
      </c>
      <c r="S491" s="1" t="b">
        <v>0</v>
      </c>
      <c r="U491" s="1" t="b">
        <v>0</v>
      </c>
      <c r="W491" s="1" t="b">
        <v>0</v>
      </c>
      <c r="Y491" s="1">
        <v>97</v>
      </c>
      <c r="Z491" s="1">
        <v>74</v>
      </c>
      <c r="AA491" s="1">
        <v>100</v>
      </c>
      <c r="AB491" s="1" t="b">
        <v>0</v>
      </c>
      <c r="AD491" s="1" t="b">
        <v>0</v>
      </c>
      <c r="AF491" s="1" t="s">
        <v>77</v>
      </c>
      <c r="AG491" s="1" t="s">
        <v>69</v>
      </c>
      <c r="AH491" s="1">
        <v>0</v>
      </c>
      <c r="AI491" s="1" t="s">
        <v>157</v>
      </c>
    </row>
    <row r="492" spans="1:35" ht="12.5" x14ac:dyDescent="0.25">
      <c r="A492" s="1">
        <v>488</v>
      </c>
      <c r="B492" s="1" t="s">
        <v>1343</v>
      </c>
      <c r="C492" s="1" t="s">
        <v>1344</v>
      </c>
      <c r="D492" s="1" t="s">
        <v>393</v>
      </c>
      <c r="E492" s="1" t="s">
        <v>38</v>
      </c>
      <c r="F492" s="1" t="s">
        <v>63</v>
      </c>
      <c r="G492" s="1" t="s">
        <v>75</v>
      </c>
      <c r="H492" s="1" t="s">
        <v>41</v>
      </c>
      <c r="I492" s="1" t="s">
        <v>103</v>
      </c>
      <c r="J492" s="1">
        <v>10.7</v>
      </c>
      <c r="K492" s="1" t="s">
        <v>863</v>
      </c>
      <c r="L492" s="1" t="s">
        <v>114</v>
      </c>
      <c r="M492" s="1" t="s">
        <v>91</v>
      </c>
      <c r="N492" s="1" t="s">
        <v>92</v>
      </c>
      <c r="O492" s="2">
        <v>45754</v>
      </c>
      <c r="P492" s="2">
        <v>45758</v>
      </c>
      <c r="Q492" s="1" t="b">
        <v>0</v>
      </c>
      <c r="S492" s="1" t="b">
        <v>0</v>
      </c>
      <c r="U492" s="1" t="b">
        <v>0</v>
      </c>
      <c r="W492" s="1" t="b">
        <v>0</v>
      </c>
      <c r="Y492" s="1">
        <v>100</v>
      </c>
      <c r="Z492" s="1">
        <v>87</v>
      </c>
      <c r="AA492" s="1">
        <v>98</v>
      </c>
      <c r="AB492" s="1" t="b">
        <v>0</v>
      </c>
      <c r="AD492" s="1" t="b">
        <v>0</v>
      </c>
      <c r="AF492" s="1" t="s">
        <v>77</v>
      </c>
      <c r="AG492" s="1" t="s">
        <v>69</v>
      </c>
      <c r="AH492" s="1">
        <v>4</v>
      </c>
      <c r="AI492" s="1" t="s">
        <v>157</v>
      </c>
    </row>
    <row r="493" spans="1:35" ht="12.5" hidden="1" x14ac:dyDescent="0.25">
      <c r="A493" s="1">
        <v>489</v>
      </c>
      <c r="B493" s="1" t="s">
        <v>1345</v>
      </c>
      <c r="C493" s="1" t="s">
        <v>1346</v>
      </c>
      <c r="D493" s="1" t="s">
        <v>51</v>
      </c>
      <c r="E493" s="1" t="s">
        <v>38</v>
      </c>
      <c r="F493" s="1" t="s">
        <v>74</v>
      </c>
      <c r="G493" s="1" t="s">
        <v>40</v>
      </c>
      <c r="H493" s="1" t="s">
        <v>41</v>
      </c>
      <c r="I493" s="1" t="s">
        <v>42</v>
      </c>
      <c r="J493" s="1">
        <v>6</v>
      </c>
      <c r="K493" s="1" t="s">
        <v>922</v>
      </c>
      <c r="L493" s="1" t="s">
        <v>141</v>
      </c>
      <c r="M493" s="1" t="s">
        <v>129</v>
      </c>
      <c r="N493" s="1" t="s">
        <v>116</v>
      </c>
      <c r="O493" s="2">
        <v>45748</v>
      </c>
      <c r="P493" s="2">
        <v>45748</v>
      </c>
      <c r="Q493" s="1" t="b">
        <v>1</v>
      </c>
      <c r="R493" s="1">
        <v>6</v>
      </c>
      <c r="S493" s="1" t="b">
        <v>1</v>
      </c>
      <c r="T493" s="2">
        <v>45758</v>
      </c>
      <c r="U493" s="1" t="b">
        <v>0</v>
      </c>
      <c r="W493" s="1" t="b">
        <v>0</v>
      </c>
      <c r="Y493" s="1">
        <v>53</v>
      </c>
      <c r="Z493" s="1">
        <v>72</v>
      </c>
      <c r="AA493" s="1">
        <v>57</v>
      </c>
      <c r="AB493" s="1" t="b">
        <v>0</v>
      </c>
      <c r="AD493" s="1" t="b">
        <v>0</v>
      </c>
      <c r="AF493" s="1" t="s">
        <v>151</v>
      </c>
      <c r="AH493" s="1">
        <v>10</v>
      </c>
      <c r="AI493" s="1" t="s">
        <v>93</v>
      </c>
    </row>
    <row r="494" spans="1:35" ht="12.5" hidden="1" x14ac:dyDescent="0.25">
      <c r="A494" s="1">
        <v>490</v>
      </c>
      <c r="B494" s="1" t="s">
        <v>1347</v>
      </c>
      <c r="C494" s="1" t="s">
        <v>1348</v>
      </c>
      <c r="D494" s="1" t="s">
        <v>1349</v>
      </c>
      <c r="E494" s="1" t="s">
        <v>62</v>
      </c>
      <c r="F494" s="1" t="s">
        <v>39</v>
      </c>
      <c r="G494" s="1" t="s">
        <v>75</v>
      </c>
      <c r="H494" s="1" t="s">
        <v>88</v>
      </c>
      <c r="I494" s="1" t="s">
        <v>53</v>
      </c>
      <c r="J494" s="1">
        <v>4.5</v>
      </c>
      <c r="K494" s="1" t="s">
        <v>66</v>
      </c>
      <c r="L494" s="1" t="s">
        <v>141</v>
      </c>
      <c r="M494" s="1" t="s">
        <v>68</v>
      </c>
      <c r="N494" s="1" t="s">
        <v>46</v>
      </c>
      <c r="O494" s="2">
        <v>45699</v>
      </c>
      <c r="P494" s="2">
        <v>45704</v>
      </c>
      <c r="Q494" s="1" t="b">
        <v>1</v>
      </c>
      <c r="R494" s="1">
        <v>1</v>
      </c>
      <c r="S494" s="1" t="b">
        <v>1</v>
      </c>
      <c r="T494" s="2">
        <v>45714</v>
      </c>
      <c r="U494" s="1" t="b">
        <v>0</v>
      </c>
      <c r="W494" s="1" t="b">
        <v>0</v>
      </c>
      <c r="Y494" s="1">
        <v>64</v>
      </c>
      <c r="Z494" s="1">
        <v>73</v>
      </c>
      <c r="AA494" s="1">
        <v>58</v>
      </c>
      <c r="AB494" s="1" t="b">
        <v>0</v>
      </c>
      <c r="AD494" s="1" t="b">
        <v>0</v>
      </c>
      <c r="AF494" s="1" t="s">
        <v>151</v>
      </c>
      <c r="AH494" s="1">
        <v>15</v>
      </c>
      <c r="AI494" s="1" t="s">
        <v>78</v>
      </c>
    </row>
    <row r="495" spans="1:35" ht="12.5" hidden="1" x14ac:dyDescent="0.25">
      <c r="A495" s="1">
        <v>491</v>
      </c>
      <c r="B495" s="1" t="s">
        <v>1350</v>
      </c>
      <c r="C495" s="1" t="s">
        <v>1351</v>
      </c>
      <c r="D495" s="1" t="s">
        <v>505</v>
      </c>
      <c r="E495" s="1" t="s">
        <v>62</v>
      </c>
      <c r="F495" s="1" t="s">
        <v>111</v>
      </c>
      <c r="G495" s="1" t="s">
        <v>40</v>
      </c>
      <c r="H495" s="1" t="s">
        <v>41</v>
      </c>
      <c r="I495" s="1" t="s">
        <v>53</v>
      </c>
      <c r="J495" s="1">
        <v>5.7</v>
      </c>
      <c r="K495" s="1" t="s">
        <v>610</v>
      </c>
      <c r="L495" s="1" t="s">
        <v>141</v>
      </c>
      <c r="M495" s="1" t="s">
        <v>146</v>
      </c>
      <c r="N495" s="1" t="s">
        <v>46</v>
      </c>
      <c r="O495" s="2">
        <v>45755</v>
      </c>
      <c r="P495" s="2">
        <v>45759</v>
      </c>
      <c r="Q495" s="1" t="b">
        <v>1</v>
      </c>
      <c r="R495" s="1">
        <v>1</v>
      </c>
      <c r="S495" s="1" t="b">
        <v>0</v>
      </c>
      <c r="U495" s="1" t="b">
        <v>0</v>
      </c>
      <c r="W495" s="1" t="b">
        <v>0</v>
      </c>
      <c r="Y495" s="1">
        <v>84</v>
      </c>
      <c r="Z495" s="1">
        <v>78</v>
      </c>
      <c r="AA495" s="1">
        <v>90</v>
      </c>
      <c r="AB495" s="1" t="b">
        <v>0</v>
      </c>
      <c r="AD495" s="1" t="b">
        <v>0</v>
      </c>
      <c r="AF495" s="1" t="s">
        <v>57</v>
      </c>
      <c r="AG495" s="1" t="s">
        <v>117</v>
      </c>
      <c r="AH495" s="1">
        <v>4</v>
      </c>
      <c r="AI495" s="1" t="s">
        <v>58</v>
      </c>
    </row>
    <row r="496" spans="1:35" ht="12.5" hidden="1" x14ac:dyDescent="0.25">
      <c r="A496" s="1">
        <v>492</v>
      </c>
      <c r="B496" s="1" t="s">
        <v>1352</v>
      </c>
      <c r="C496" s="1" t="s">
        <v>1353</v>
      </c>
      <c r="D496" s="1" t="s">
        <v>382</v>
      </c>
      <c r="E496" s="1" t="s">
        <v>62</v>
      </c>
      <c r="F496" s="1" t="s">
        <v>111</v>
      </c>
      <c r="G496" s="1" t="s">
        <v>112</v>
      </c>
      <c r="H496" s="1" t="s">
        <v>41</v>
      </c>
      <c r="I496" s="1" t="s">
        <v>53</v>
      </c>
      <c r="J496" s="1">
        <v>5.5</v>
      </c>
      <c r="K496" s="1" t="s">
        <v>642</v>
      </c>
      <c r="L496" s="1" t="s">
        <v>55</v>
      </c>
      <c r="M496" s="1" t="s">
        <v>91</v>
      </c>
      <c r="N496" s="1" t="s">
        <v>92</v>
      </c>
      <c r="O496" s="2">
        <v>45697</v>
      </c>
      <c r="P496" s="2">
        <v>45700</v>
      </c>
      <c r="Q496" s="1" t="b">
        <v>1</v>
      </c>
      <c r="R496" s="1">
        <v>7</v>
      </c>
      <c r="S496" s="1" t="b">
        <v>1</v>
      </c>
      <c r="T496" s="2">
        <v>45710</v>
      </c>
      <c r="U496" s="1" t="b">
        <v>1</v>
      </c>
      <c r="V496" s="2">
        <v>45720</v>
      </c>
      <c r="W496" s="1" t="b">
        <v>1</v>
      </c>
      <c r="X496" s="2">
        <v>45725</v>
      </c>
      <c r="Y496" s="1">
        <v>83</v>
      </c>
      <c r="Z496" s="1">
        <v>66</v>
      </c>
      <c r="AA496" s="1">
        <v>67</v>
      </c>
      <c r="AB496" s="1" t="b">
        <v>0</v>
      </c>
      <c r="AD496" s="1" t="b">
        <v>0</v>
      </c>
      <c r="AF496" s="1" t="s">
        <v>47</v>
      </c>
      <c r="AH496" s="1">
        <v>28</v>
      </c>
      <c r="AI496" s="1" t="s">
        <v>78</v>
      </c>
    </row>
    <row r="497" spans="1:35" ht="12.5" x14ac:dyDescent="0.25">
      <c r="A497" s="1">
        <v>493</v>
      </c>
      <c r="B497" s="1" t="s">
        <v>1354</v>
      </c>
      <c r="C497" s="1" t="s">
        <v>1355</v>
      </c>
      <c r="D497" s="1" t="s">
        <v>205</v>
      </c>
      <c r="E497" s="1" t="s">
        <v>102</v>
      </c>
      <c r="F497" s="1" t="s">
        <v>39</v>
      </c>
      <c r="G497" s="1" t="s">
        <v>97</v>
      </c>
      <c r="H497" s="1" t="s">
        <v>41</v>
      </c>
      <c r="I497" s="1" t="s">
        <v>103</v>
      </c>
      <c r="J497" s="1">
        <v>11.9</v>
      </c>
      <c r="K497" s="1" t="s">
        <v>1247</v>
      </c>
      <c r="L497" s="1" t="s">
        <v>141</v>
      </c>
      <c r="M497" s="1" t="s">
        <v>123</v>
      </c>
      <c r="N497" s="1" t="s">
        <v>46</v>
      </c>
      <c r="O497" s="2">
        <v>45698</v>
      </c>
      <c r="P497" s="2">
        <v>45700</v>
      </c>
      <c r="Q497" s="1" t="b">
        <v>0</v>
      </c>
      <c r="S497" s="1" t="b">
        <v>0</v>
      </c>
      <c r="U497" s="1" t="b">
        <v>0</v>
      </c>
      <c r="W497" s="1" t="b">
        <v>0</v>
      </c>
      <c r="Y497" s="1">
        <v>76</v>
      </c>
      <c r="Z497" s="1">
        <v>79</v>
      </c>
      <c r="AA497" s="1">
        <v>78</v>
      </c>
      <c r="AB497" s="1" t="b">
        <v>0</v>
      </c>
      <c r="AD497" s="1" t="b">
        <v>0</v>
      </c>
      <c r="AF497" s="1" t="s">
        <v>77</v>
      </c>
      <c r="AG497" s="1" t="s">
        <v>69</v>
      </c>
      <c r="AH497" s="1">
        <v>2</v>
      </c>
      <c r="AI497" s="1" t="s">
        <v>157</v>
      </c>
    </row>
    <row r="498" spans="1:35" ht="12.5" hidden="1" x14ac:dyDescent="0.25">
      <c r="A498" s="1">
        <v>494</v>
      </c>
      <c r="B498" s="1" t="s">
        <v>1356</v>
      </c>
      <c r="C498" s="1" t="s">
        <v>1357</v>
      </c>
      <c r="D498" s="1" t="s">
        <v>1014</v>
      </c>
      <c r="E498" s="1" t="s">
        <v>102</v>
      </c>
      <c r="F498" s="1" t="s">
        <v>39</v>
      </c>
      <c r="G498" s="1" t="s">
        <v>64</v>
      </c>
      <c r="H498" s="1" t="s">
        <v>88</v>
      </c>
      <c r="I498" s="1" t="s">
        <v>53</v>
      </c>
      <c r="J498" s="1">
        <v>5.4</v>
      </c>
      <c r="K498" s="1" t="s">
        <v>368</v>
      </c>
      <c r="L498" s="1" t="s">
        <v>90</v>
      </c>
      <c r="M498" s="1" t="s">
        <v>56</v>
      </c>
      <c r="N498" s="1" t="s">
        <v>92</v>
      </c>
      <c r="O498" s="2">
        <v>45685</v>
      </c>
      <c r="P498" s="2">
        <v>45691</v>
      </c>
      <c r="Q498" s="1" t="b">
        <v>1</v>
      </c>
      <c r="R498" s="1">
        <v>9</v>
      </c>
      <c r="S498" s="1" t="b">
        <v>1</v>
      </c>
      <c r="T498" s="2">
        <v>45692</v>
      </c>
      <c r="U498" s="1" t="b">
        <v>1</v>
      </c>
      <c r="V498" s="2">
        <v>45703</v>
      </c>
      <c r="W498" s="1" t="b">
        <v>1</v>
      </c>
      <c r="X498" s="2">
        <v>45711</v>
      </c>
      <c r="Y498" s="1">
        <v>76</v>
      </c>
      <c r="Z498" s="1">
        <v>78</v>
      </c>
      <c r="AA498" s="1">
        <v>75</v>
      </c>
      <c r="AB498" s="1" t="b">
        <v>1</v>
      </c>
      <c r="AC498" s="2">
        <v>45717</v>
      </c>
      <c r="AD498" s="1" t="b">
        <v>1</v>
      </c>
      <c r="AE498" s="2">
        <v>45724</v>
      </c>
      <c r="AF498" s="1" t="s">
        <v>134</v>
      </c>
      <c r="AH498" s="1">
        <v>39</v>
      </c>
      <c r="AI498" s="1" t="s">
        <v>58</v>
      </c>
    </row>
    <row r="499" spans="1:35" ht="12.5" hidden="1" x14ac:dyDescent="0.25">
      <c r="A499" s="1">
        <v>495</v>
      </c>
      <c r="B499" s="1" t="s">
        <v>1358</v>
      </c>
      <c r="C499" s="1" t="s">
        <v>1359</v>
      </c>
      <c r="D499" s="1" t="s">
        <v>1321</v>
      </c>
      <c r="E499" s="1" t="s">
        <v>38</v>
      </c>
      <c r="F499" s="1" t="s">
        <v>74</v>
      </c>
      <c r="G499" s="1" t="s">
        <v>112</v>
      </c>
      <c r="H499" s="1" t="s">
        <v>65</v>
      </c>
      <c r="I499" s="1" t="s">
        <v>53</v>
      </c>
      <c r="J499" s="1">
        <v>5.7</v>
      </c>
      <c r="K499" s="1" t="s">
        <v>345</v>
      </c>
      <c r="L499" s="1" t="s">
        <v>114</v>
      </c>
      <c r="M499" s="1" t="s">
        <v>68</v>
      </c>
      <c r="N499" s="1" t="s">
        <v>116</v>
      </c>
      <c r="O499" s="2">
        <v>45664</v>
      </c>
      <c r="P499" s="2">
        <v>45664</v>
      </c>
      <c r="Q499" s="1" t="b">
        <v>1</v>
      </c>
      <c r="R499" s="1">
        <v>1</v>
      </c>
      <c r="S499" s="1" t="b">
        <v>0</v>
      </c>
      <c r="U499" s="1" t="b">
        <v>0</v>
      </c>
      <c r="W499" s="1" t="b">
        <v>0</v>
      </c>
      <c r="Y499" s="1">
        <v>69</v>
      </c>
      <c r="Z499" s="1">
        <v>66</v>
      </c>
      <c r="AA499" s="1">
        <v>70</v>
      </c>
      <c r="AB499" s="1" t="b">
        <v>0</v>
      </c>
      <c r="AD499" s="1" t="b">
        <v>0</v>
      </c>
      <c r="AF499" s="1" t="s">
        <v>57</v>
      </c>
      <c r="AH499" s="1">
        <v>0</v>
      </c>
      <c r="AI499" s="1" t="s">
        <v>78</v>
      </c>
    </row>
    <row r="500" spans="1:35" ht="12.5" hidden="1" x14ac:dyDescent="0.25">
      <c r="A500" s="1">
        <v>496</v>
      </c>
      <c r="B500" s="1" t="s">
        <v>599</v>
      </c>
      <c r="C500" s="1" t="s">
        <v>1360</v>
      </c>
      <c r="D500" s="1" t="s">
        <v>73</v>
      </c>
      <c r="E500" s="1" t="s">
        <v>52</v>
      </c>
      <c r="F500" s="1" t="s">
        <v>74</v>
      </c>
      <c r="G500" s="1" t="s">
        <v>112</v>
      </c>
      <c r="H500" s="1" t="s">
        <v>41</v>
      </c>
      <c r="I500" s="1" t="s">
        <v>42</v>
      </c>
      <c r="J500" s="1">
        <v>8.8000000000000007</v>
      </c>
      <c r="K500" s="1" t="s">
        <v>306</v>
      </c>
      <c r="L500" s="1" t="s">
        <v>114</v>
      </c>
      <c r="M500" s="1" t="s">
        <v>146</v>
      </c>
      <c r="N500" s="1" t="s">
        <v>116</v>
      </c>
      <c r="O500" s="2">
        <v>45805</v>
      </c>
      <c r="P500" s="2">
        <v>45805</v>
      </c>
      <c r="Q500" s="1" t="b">
        <v>1</v>
      </c>
      <c r="R500" s="1">
        <v>2</v>
      </c>
      <c r="S500" s="1" t="b">
        <v>1</v>
      </c>
      <c r="T500" s="2">
        <v>45807</v>
      </c>
      <c r="U500" s="1" t="b">
        <v>1</v>
      </c>
      <c r="V500" s="2">
        <v>45819</v>
      </c>
      <c r="W500" s="1" t="b">
        <v>1</v>
      </c>
      <c r="X500" s="2">
        <v>45824</v>
      </c>
      <c r="Y500" s="1">
        <v>74</v>
      </c>
      <c r="Z500" s="1">
        <v>85</v>
      </c>
      <c r="AA500" s="1">
        <v>74</v>
      </c>
      <c r="AB500" s="1" t="b">
        <v>1</v>
      </c>
      <c r="AC500" s="2">
        <v>45829</v>
      </c>
      <c r="AD500" s="1" t="b">
        <v>0</v>
      </c>
      <c r="AF500" s="1" t="s">
        <v>316</v>
      </c>
      <c r="AH500" s="1">
        <v>24</v>
      </c>
      <c r="AI500" s="1" t="s">
        <v>165</v>
      </c>
    </row>
    <row r="501" spans="1:35" ht="12.5" x14ac:dyDescent="0.25">
      <c r="A501" s="1">
        <v>497</v>
      </c>
      <c r="B501" s="1" t="s">
        <v>1361</v>
      </c>
      <c r="C501" s="1" t="s">
        <v>1362</v>
      </c>
      <c r="D501" s="1" t="s">
        <v>1321</v>
      </c>
      <c r="E501" s="1" t="s">
        <v>38</v>
      </c>
      <c r="F501" s="1" t="s">
        <v>111</v>
      </c>
      <c r="G501" s="1" t="s">
        <v>64</v>
      </c>
      <c r="H501" s="1" t="s">
        <v>41</v>
      </c>
      <c r="I501" s="1" t="s">
        <v>53</v>
      </c>
      <c r="J501" s="1">
        <v>4.2</v>
      </c>
      <c r="K501" s="1" t="s">
        <v>374</v>
      </c>
      <c r="L501" s="1" t="s">
        <v>67</v>
      </c>
      <c r="M501" s="1" t="s">
        <v>115</v>
      </c>
      <c r="N501" s="1" t="s">
        <v>46</v>
      </c>
      <c r="O501" s="2">
        <v>45781</v>
      </c>
      <c r="P501" s="2">
        <v>45781</v>
      </c>
      <c r="Q501" s="1" t="b">
        <v>0</v>
      </c>
      <c r="S501" s="1" t="b">
        <v>0</v>
      </c>
      <c r="U501" s="1" t="b">
        <v>0</v>
      </c>
      <c r="W501" s="1" t="b">
        <v>0</v>
      </c>
      <c r="Y501" s="1">
        <v>78</v>
      </c>
      <c r="Z501" s="1">
        <v>87</v>
      </c>
      <c r="AA501" s="1">
        <v>73</v>
      </c>
      <c r="AB501" s="1" t="b">
        <v>0</v>
      </c>
      <c r="AD501" s="1" t="b">
        <v>0</v>
      </c>
      <c r="AF501" s="1" t="s">
        <v>77</v>
      </c>
      <c r="AG501" s="1" t="s">
        <v>69</v>
      </c>
      <c r="AH501" s="1">
        <v>0</v>
      </c>
      <c r="AI501" s="1" t="s">
        <v>48</v>
      </c>
    </row>
    <row r="502" spans="1:35" ht="12.5" hidden="1" x14ac:dyDescent="0.25">
      <c r="A502" s="1">
        <v>498</v>
      </c>
      <c r="B502" s="1" t="s">
        <v>1363</v>
      </c>
      <c r="C502" s="1" t="s">
        <v>1364</v>
      </c>
      <c r="D502" s="1" t="s">
        <v>393</v>
      </c>
      <c r="E502" s="1" t="s">
        <v>102</v>
      </c>
      <c r="F502" s="1" t="s">
        <v>39</v>
      </c>
      <c r="G502" s="1" t="s">
        <v>75</v>
      </c>
      <c r="H502" s="1" t="s">
        <v>65</v>
      </c>
      <c r="I502" s="1" t="s">
        <v>53</v>
      </c>
      <c r="J502" s="1">
        <v>4.5</v>
      </c>
      <c r="K502" s="1" t="s">
        <v>1365</v>
      </c>
      <c r="L502" s="1" t="s">
        <v>67</v>
      </c>
      <c r="M502" s="1" t="s">
        <v>68</v>
      </c>
      <c r="N502" s="1" t="s">
        <v>46</v>
      </c>
      <c r="O502" s="2">
        <v>45793</v>
      </c>
      <c r="P502" s="2">
        <v>45793</v>
      </c>
      <c r="Q502" s="1" t="b">
        <v>1</v>
      </c>
      <c r="R502" s="1">
        <v>0</v>
      </c>
      <c r="S502" s="1" t="b">
        <v>1</v>
      </c>
      <c r="T502" s="2">
        <v>45795</v>
      </c>
      <c r="U502" s="1" t="b">
        <v>0</v>
      </c>
      <c r="W502" s="1" t="b">
        <v>0</v>
      </c>
      <c r="Y502" s="1">
        <v>83</v>
      </c>
      <c r="Z502" s="1">
        <v>79</v>
      </c>
      <c r="AA502" s="1">
        <v>92</v>
      </c>
      <c r="AB502" s="1" t="b">
        <v>0</v>
      </c>
      <c r="AD502" s="1" t="b">
        <v>0</v>
      </c>
      <c r="AF502" s="1" t="s">
        <v>151</v>
      </c>
      <c r="AG502" s="1" t="s">
        <v>287</v>
      </c>
      <c r="AH502" s="1">
        <v>2</v>
      </c>
      <c r="AI502" s="1" t="s">
        <v>135</v>
      </c>
    </row>
    <row r="503" spans="1:35" ht="12.5" hidden="1" x14ac:dyDescent="0.25">
      <c r="A503" s="1">
        <v>499</v>
      </c>
      <c r="B503" s="1" t="s">
        <v>1366</v>
      </c>
      <c r="C503" s="1" t="s">
        <v>1367</v>
      </c>
      <c r="D503" s="1" t="s">
        <v>850</v>
      </c>
      <c r="E503" s="1" t="s">
        <v>52</v>
      </c>
      <c r="F503" s="1" t="s">
        <v>111</v>
      </c>
      <c r="G503" s="1" t="s">
        <v>139</v>
      </c>
      <c r="H503" s="1" t="s">
        <v>41</v>
      </c>
      <c r="I503" s="1" t="s">
        <v>42</v>
      </c>
      <c r="J503" s="1">
        <v>5.4</v>
      </c>
      <c r="K503" s="1" t="s">
        <v>1368</v>
      </c>
      <c r="L503" s="1" t="s">
        <v>114</v>
      </c>
      <c r="M503" s="1" t="s">
        <v>45</v>
      </c>
      <c r="N503" s="1" t="s">
        <v>116</v>
      </c>
      <c r="O503" s="2">
        <v>45739</v>
      </c>
      <c r="P503" s="2">
        <v>45745</v>
      </c>
      <c r="Q503" s="1" t="b">
        <v>1</v>
      </c>
      <c r="R503" s="1">
        <v>3</v>
      </c>
      <c r="S503" s="1" t="b">
        <v>1</v>
      </c>
      <c r="T503" s="2">
        <v>45747</v>
      </c>
      <c r="U503" s="1" t="b">
        <v>1</v>
      </c>
      <c r="V503" s="2">
        <v>45749</v>
      </c>
      <c r="W503" s="1" t="b">
        <v>1</v>
      </c>
      <c r="X503" s="2">
        <v>45751</v>
      </c>
      <c r="Y503" s="1">
        <v>77</v>
      </c>
      <c r="Z503" s="1">
        <v>77</v>
      </c>
      <c r="AA503" s="1">
        <v>77</v>
      </c>
      <c r="AB503" s="1" t="b">
        <v>1</v>
      </c>
      <c r="AC503" s="2">
        <v>45756</v>
      </c>
      <c r="AD503" s="1" t="b">
        <v>0</v>
      </c>
      <c r="AF503" s="1" t="s">
        <v>316</v>
      </c>
      <c r="AH503" s="1">
        <v>17</v>
      </c>
      <c r="AI503" s="1" t="s">
        <v>70</v>
      </c>
    </row>
    <row r="504" spans="1:35" ht="12.5" hidden="1" x14ac:dyDescent="0.25">
      <c r="A504" s="1">
        <v>500</v>
      </c>
      <c r="B504" s="1" t="s">
        <v>1369</v>
      </c>
      <c r="C504" s="1" t="s">
        <v>1370</v>
      </c>
      <c r="D504" s="1" t="s">
        <v>160</v>
      </c>
      <c r="E504" s="1" t="s">
        <v>102</v>
      </c>
      <c r="F504" s="1" t="s">
        <v>74</v>
      </c>
      <c r="G504" s="1" t="s">
        <v>139</v>
      </c>
      <c r="H504" s="1" t="s">
        <v>41</v>
      </c>
      <c r="I504" s="1" t="s">
        <v>42</v>
      </c>
      <c r="J504" s="1">
        <v>9.1</v>
      </c>
      <c r="K504" s="1" t="s">
        <v>1365</v>
      </c>
      <c r="L504" s="1" t="s">
        <v>55</v>
      </c>
      <c r="M504" s="1" t="s">
        <v>56</v>
      </c>
      <c r="N504" s="1" t="s">
        <v>116</v>
      </c>
      <c r="O504" s="2">
        <v>45712</v>
      </c>
      <c r="P504" s="2">
        <v>45713</v>
      </c>
      <c r="Q504" s="1" t="b">
        <v>1</v>
      </c>
      <c r="R504" s="1">
        <v>0</v>
      </c>
      <c r="S504" s="1" t="b">
        <v>1</v>
      </c>
      <c r="T504" s="2">
        <v>45722</v>
      </c>
      <c r="U504" s="1" t="b">
        <v>1</v>
      </c>
      <c r="V504" s="2">
        <v>45734</v>
      </c>
      <c r="W504" s="1" t="b">
        <v>1</v>
      </c>
      <c r="X504" s="2">
        <v>45737</v>
      </c>
      <c r="Y504" s="1">
        <v>96</v>
      </c>
      <c r="Z504" s="1">
        <v>82</v>
      </c>
      <c r="AA504" s="1">
        <v>72</v>
      </c>
      <c r="AB504" s="1" t="b">
        <v>1</v>
      </c>
      <c r="AC504" s="2">
        <v>45744</v>
      </c>
      <c r="AD504" s="1" t="b">
        <v>1</v>
      </c>
      <c r="AE504" s="2">
        <v>45747</v>
      </c>
      <c r="AF504" s="1" t="s">
        <v>134</v>
      </c>
      <c r="AH504" s="1">
        <v>35</v>
      </c>
      <c r="AI504" s="1" t="s">
        <v>48</v>
      </c>
    </row>
    <row r="505" spans="1:35" ht="12.5" hidden="1" x14ac:dyDescent="0.25">
      <c r="A505" s="1">
        <v>501</v>
      </c>
      <c r="B505" s="1" t="s">
        <v>1371</v>
      </c>
      <c r="C505" s="1" t="s">
        <v>1372</v>
      </c>
      <c r="D505" s="1" t="s">
        <v>213</v>
      </c>
      <c r="E505" s="1" t="s">
        <v>52</v>
      </c>
      <c r="F505" s="1" t="s">
        <v>111</v>
      </c>
      <c r="G505" s="1" t="s">
        <v>64</v>
      </c>
      <c r="H505" s="1" t="s">
        <v>65</v>
      </c>
      <c r="I505" s="1" t="s">
        <v>53</v>
      </c>
      <c r="J505" s="1">
        <v>6.1</v>
      </c>
      <c r="K505" s="1" t="s">
        <v>402</v>
      </c>
      <c r="L505" s="1" t="s">
        <v>44</v>
      </c>
      <c r="M505" s="1" t="s">
        <v>146</v>
      </c>
      <c r="N505" s="1" t="s">
        <v>46</v>
      </c>
      <c r="O505" s="2">
        <v>45678</v>
      </c>
      <c r="P505" s="2">
        <v>45684</v>
      </c>
      <c r="Q505" s="1" t="b">
        <v>1</v>
      </c>
      <c r="R505" s="1">
        <v>0</v>
      </c>
      <c r="S505" s="1" t="b">
        <v>1</v>
      </c>
      <c r="T505" s="2">
        <v>45694</v>
      </c>
      <c r="U505" s="1" t="b">
        <v>0</v>
      </c>
      <c r="W505" s="1" t="b">
        <v>0</v>
      </c>
      <c r="Y505" s="1">
        <v>88</v>
      </c>
      <c r="Z505" s="1">
        <v>62</v>
      </c>
      <c r="AA505" s="1">
        <v>71</v>
      </c>
      <c r="AB505" s="1" t="b">
        <v>0</v>
      </c>
      <c r="AD505" s="1" t="b">
        <v>0</v>
      </c>
      <c r="AF505" s="1" t="s">
        <v>151</v>
      </c>
      <c r="AH505" s="1">
        <v>16</v>
      </c>
      <c r="AI505" s="1" t="s">
        <v>165</v>
      </c>
    </row>
    <row r="506" spans="1:35" ht="12.5" hidden="1" x14ac:dyDescent="0.25">
      <c r="A506" s="1">
        <v>502</v>
      </c>
      <c r="B506" s="1" t="s">
        <v>1373</v>
      </c>
      <c r="C506" s="1" t="s">
        <v>1374</v>
      </c>
      <c r="D506" s="1" t="s">
        <v>155</v>
      </c>
      <c r="E506" s="1" t="s">
        <v>102</v>
      </c>
      <c r="F506" s="1" t="s">
        <v>63</v>
      </c>
      <c r="G506" s="1" t="s">
        <v>97</v>
      </c>
      <c r="H506" s="1" t="s">
        <v>88</v>
      </c>
      <c r="I506" s="1" t="s">
        <v>53</v>
      </c>
      <c r="J506" s="1">
        <v>3.6</v>
      </c>
      <c r="K506" s="1" t="s">
        <v>315</v>
      </c>
      <c r="L506" s="1" t="s">
        <v>141</v>
      </c>
      <c r="M506" s="1" t="s">
        <v>45</v>
      </c>
      <c r="N506" s="1" t="s">
        <v>92</v>
      </c>
      <c r="O506" s="2">
        <v>45785</v>
      </c>
      <c r="P506" s="2">
        <v>45786</v>
      </c>
      <c r="Q506" s="1" t="b">
        <v>1</v>
      </c>
      <c r="R506" s="1">
        <v>8</v>
      </c>
      <c r="S506" s="1" t="b">
        <v>1</v>
      </c>
      <c r="T506" s="2">
        <v>45790</v>
      </c>
      <c r="U506" s="1" t="b">
        <v>1</v>
      </c>
      <c r="V506" s="2">
        <v>45803</v>
      </c>
      <c r="W506" s="1" t="b">
        <v>1</v>
      </c>
      <c r="X506" s="2">
        <v>45807</v>
      </c>
      <c r="Y506" s="1">
        <v>76</v>
      </c>
      <c r="Z506" s="1">
        <v>81</v>
      </c>
      <c r="AA506" s="1">
        <v>89</v>
      </c>
      <c r="AB506" s="1" t="b">
        <v>1</v>
      </c>
      <c r="AC506" s="2">
        <v>45808</v>
      </c>
      <c r="AD506" s="1" t="b">
        <v>1</v>
      </c>
      <c r="AE506" s="2">
        <v>45813</v>
      </c>
      <c r="AF506" s="1" t="s">
        <v>134</v>
      </c>
      <c r="AH506" s="1">
        <v>28</v>
      </c>
      <c r="AI506" s="1" t="s">
        <v>48</v>
      </c>
    </row>
    <row r="507" spans="1:35" ht="12.5" hidden="1" x14ac:dyDescent="0.25">
      <c r="A507" s="1">
        <v>503</v>
      </c>
      <c r="B507" s="1" t="s">
        <v>1375</v>
      </c>
      <c r="C507" s="1" t="s">
        <v>1376</v>
      </c>
      <c r="D507" s="1" t="s">
        <v>564</v>
      </c>
      <c r="E507" s="1" t="s">
        <v>38</v>
      </c>
      <c r="F507" s="1" t="s">
        <v>63</v>
      </c>
      <c r="G507" s="1" t="s">
        <v>97</v>
      </c>
      <c r="H507" s="1" t="s">
        <v>41</v>
      </c>
      <c r="I507" s="1" t="s">
        <v>103</v>
      </c>
      <c r="J507" s="1">
        <v>9.4</v>
      </c>
      <c r="K507" s="1" t="s">
        <v>577</v>
      </c>
      <c r="L507" s="1" t="s">
        <v>141</v>
      </c>
      <c r="M507" s="1" t="s">
        <v>45</v>
      </c>
      <c r="N507" s="1" t="s">
        <v>46</v>
      </c>
      <c r="O507" s="2">
        <v>45752</v>
      </c>
      <c r="P507" s="2">
        <v>45752</v>
      </c>
      <c r="Q507" s="1" t="b">
        <v>1</v>
      </c>
      <c r="R507" s="1">
        <v>4</v>
      </c>
      <c r="S507" s="1" t="b">
        <v>1</v>
      </c>
      <c r="T507" s="2">
        <v>45762</v>
      </c>
      <c r="U507" s="1" t="b">
        <v>1</v>
      </c>
      <c r="V507" s="2">
        <v>45770</v>
      </c>
      <c r="W507" s="1" t="b">
        <v>1</v>
      </c>
      <c r="X507" s="2">
        <v>45774</v>
      </c>
      <c r="Y507" s="1">
        <v>68</v>
      </c>
      <c r="Z507" s="1">
        <v>76</v>
      </c>
      <c r="AA507" s="1">
        <v>86</v>
      </c>
      <c r="AB507" s="1" t="b">
        <v>0</v>
      </c>
      <c r="AD507" s="1" t="b">
        <v>0</v>
      </c>
      <c r="AF507" s="1" t="s">
        <v>47</v>
      </c>
      <c r="AH507" s="1">
        <v>22</v>
      </c>
      <c r="AI507" s="1" t="s">
        <v>135</v>
      </c>
    </row>
    <row r="508" spans="1:35" ht="12.5" hidden="1" x14ac:dyDescent="0.25">
      <c r="A508" s="1">
        <v>504</v>
      </c>
      <c r="B508" s="1" t="s">
        <v>1377</v>
      </c>
      <c r="C508" s="1" t="s">
        <v>1378</v>
      </c>
      <c r="D508" s="1" t="s">
        <v>564</v>
      </c>
      <c r="E508" s="1" t="s">
        <v>52</v>
      </c>
      <c r="F508" s="1" t="s">
        <v>111</v>
      </c>
      <c r="G508" s="1" t="s">
        <v>64</v>
      </c>
      <c r="H508" s="1" t="s">
        <v>88</v>
      </c>
      <c r="I508" s="1" t="s">
        <v>42</v>
      </c>
      <c r="J508" s="1">
        <v>8.6999999999999993</v>
      </c>
      <c r="K508" s="1" t="s">
        <v>799</v>
      </c>
      <c r="L508" s="1" t="s">
        <v>44</v>
      </c>
      <c r="M508" s="1" t="s">
        <v>123</v>
      </c>
      <c r="N508" s="1" t="s">
        <v>46</v>
      </c>
      <c r="O508" s="2">
        <v>45668</v>
      </c>
      <c r="P508" s="2">
        <v>45669</v>
      </c>
      <c r="Q508" s="1" t="b">
        <v>1</v>
      </c>
      <c r="R508" s="1">
        <v>2</v>
      </c>
      <c r="S508" s="1" t="b">
        <v>1</v>
      </c>
      <c r="T508" s="2">
        <v>45677</v>
      </c>
      <c r="U508" s="1" t="b">
        <v>1</v>
      </c>
      <c r="V508" s="2">
        <v>45686</v>
      </c>
      <c r="W508" s="1" t="b">
        <v>1</v>
      </c>
      <c r="X508" s="2">
        <v>45687</v>
      </c>
      <c r="Y508" s="1">
        <v>55</v>
      </c>
      <c r="Z508" s="1">
        <v>86</v>
      </c>
      <c r="AA508" s="1">
        <v>78</v>
      </c>
      <c r="AB508" s="1" t="b">
        <v>0</v>
      </c>
      <c r="AD508" s="1" t="b">
        <v>0</v>
      </c>
      <c r="AF508" s="1" t="s">
        <v>47</v>
      </c>
      <c r="AG508" s="1" t="s">
        <v>117</v>
      </c>
      <c r="AH508" s="1">
        <v>19</v>
      </c>
      <c r="AI508" s="1" t="s">
        <v>157</v>
      </c>
    </row>
    <row r="509" spans="1:35" ht="12.5" x14ac:dyDescent="0.25">
      <c r="A509" s="1">
        <v>505</v>
      </c>
      <c r="B509" s="1" t="s">
        <v>1379</v>
      </c>
      <c r="C509" s="1" t="s">
        <v>1380</v>
      </c>
      <c r="D509" s="1" t="s">
        <v>326</v>
      </c>
      <c r="E509" s="1" t="s">
        <v>102</v>
      </c>
      <c r="F509" s="1" t="s">
        <v>63</v>
      </c>
      <c r="G509" s="1" t="s">
        <v>75</v>
      </c>
      <c r="H509" s="1" t="s">
        <v>41</v>
      </c>
      <c r="I509" s="1" t="s">
        <v>103</v>
      </c>
      <c r="J509" s="1">
        <v>11.1</v>
      </c>
      <c r="K509" s="1" t="s">
        <v>1233</v>
      </c>
      <c r="L509" s="1" t="s">
        <v>141</v>
      </c>
      <c r="M509" s="1" t="s">
        <v>91</v>
      </c>
      <c r="N509" s="1" t="s">
        <v>46</v>
      </c>
      <c r="O509" s="2">
        <v>45676</v>
      </c>
      <c r="P509" s="2">
        <v>45679</v>
      </c>
      <c r="Q509" s="1" t="b">
        <v>0</v>
      </c>
      <c r="S509" s="1" t="b">
        <v>0</v>
      </c>
      <c r="U509" s="1" t="b">
        <v>0</v>
      </c>
      <c r="W509" s="1" t="b">
        <v>0</v>
      </c>
      <c r="Y509" s="1">
        <v>65</v>
      </c>
      <c r="Z509" s="1">
        <v>93</v>
      </c>
      <c r="AA509" s="1">
        <v>80</v>
      </c>
      <c r="AB509" s="1" t="b">
        <v>0</v>
      </c>
      <c r="AD509" s="1" t="b">
        <v>0</v>
      </c>
      <c r="AF509" s="1" t="s">
        <v>77</v>
      </c>
      <c r="AG509" s="1" t="s">
        <v>69</v>
      </c>
      <c r="AH509" s="1">
        <v>3</v>
      </c>
      <c r="AI509" s="1" t="s">
        <v>58</v>
      </c>
    </row>
    <row r="510" spans="1:35" ht="12.5" hidden="1" x14ac:dyDescent="0.25">
      <c r="A510" s="1">
        <v>506</v>
      </c>
      <c r="B510" s="1" t="s">
        <v>1381</v>
      </c>
      <c r="C510" s="1" t="s">
        <v>1382</v>
      </c>
      <c r="D510" s="1" t="s">
        <v>1321</v>
      </c>
      <c r="E510" s="1" t="s">
        <v>102</v>
      </c>
      <c r="F510" s="1" t="s">
        <v>39</v>
      </c>
      <c r="G510" s="1" t="s">
        <v>112</v>
      </c>
      <c r="H510" s="1" t="s">
        <v>88</v>
      </c>
      <c r="I510" s="1" t="s">
        <v>42</v>
      </c>
      <c r="J510" s="1">
        <v>10.199999999999999</v>
      </c>
      <c r="K510" s="1" t="s">
        <v>1383</v>
      </c>
      <c r="L510" s="1" t="s">
        <v>114</v>
      </c>
      <c r="M510" s="1" t="s">
        <v>56</v>
      </c>
      <c r="N510" s="1" t="s">
        <v>116</v>
      </c>
      <c r="O510" s="2">
        <v>45660</v>
      </c>
      <c r="P510" s="2">
        <v>45663</v>
      </c>
      <c r="Q510" s="1" t="b">
        <v>1</v>
      </c>
      <c r="R510" s="1">
        <v>0</v>
      </c>
      <c r="S510" s="1" t="b">
        <v>1</v>
      </c>
      <c r="T510" s="2">
        <v>45664</v>
      </c>
      <c r="U510" s="1" t="b">
        <v>0</v>
      </c>
      <c r="W510" s="1" t="b">
        <v>0</v>
      </c>
      <c r="Y510" s="1">
        <v>90</v>
      </c>
      <c r="Z510" s="1">
        <v>66</v>
      </c>
      <c r="AA510" s="1">
        <v>91</v>
      </c>
      <c r="AB510" s="1" t="b">
        <v>0</v>
      </c>
      <c r="AD510" s="1" t="b">
        <v>0</v>
      </c>
      <c r="AF510" s="1" t="s">
        <v>151</v>
      </c>
      <c r="AG510" s="1" t="s">
        <v>361</v>
      </c>
      <c r="AH510" s="1">
        <v>4</v>
      </c>
      <c r="AI510" s="1" t="s">
        <v>70</v>
      </c>
    </row>
    <row r="511" spans="1:35" ht="12.5" hidden="1" x14ac:dyDescent="0.25">
      <c r="A511" s="1">
        <v>507</v>
      </c>
      <c r="B511" s="1" t="s">
        <v>1384</v>
      </c>
      <c r="C511" s="1" t="s">
        <v>1385</v>
      </c>
      <c r="D511" s="1" t="s">
        <v>613</v>
      </c>
      <c r="E511" s="1" t="s">
        <v>102</v>
      </c>
      <c r="F511" s="1" t="s">
        <v>39</v>
      </c>
      <c r="G511" s="1" t="s">
        <v>97</v>
      </c>
      <c r="H511" s="1" t="s">
        <v>41</v>
      </c>
      <c r="I511" s="1" t="s">
        <v>42</v>
      </c>
      <c r="J511" s="1">
        <v>7.6</v>
      </c>
      <c r="K511" s="1" t="s">
        <v>1046</v>
      </c>
      <c r="L511" s="1" t="s">
        <v>90</v>
      </c>
      <c r="M511" s="1" t="s">
        <v>45</v>
      </c>
      <c r="N511" s="1" t="s">
        <v>84</v>
      </c>
      <c r="O511" s="2">
        <v>45746</v>
      </c>
      <c r="P511" s="2">
        <v>45753</v>
      </c>
      <c r="Q511" s="1" t="b">
        <v>1</v>
      </c>
      <c r="R511" s="1">
        <v>1</v>
      </c>
      <c r="S511" s="1" t="b">
        <v>1</v>
      </c>
      <c r="T511" s="2">
        <v>45763</v>
      </c>
      <c r="U511" s="1" t="b">
        <v>1</v>
      </c>
      <c r="V511" s="2">
        <v>45770</v>
      </c>
      <c r="W511" s="1" t="b">
        <v>1</v>
      </c>
      <c r="X511" s="2">
        <v>45774</v>
      </c>
      <c r="Y511" s="1">
        <v>64</v>
      </c>
      <c r="Z511" s="1">
        <v>69</v>
      </c>
      <c r="AA511" s="1">
        <v>75</v>
      </c>
      <c r="AB511" s="1" t="b">
        <v>0</v>
      </c>
      <c r="AD511" s="1" t="b">
        <v>0</v>
      </c>
      <c r="AF511" s="1" t="s">
        <v>47</v>
      </c>
      <c r="AH511" s="1">
        <v>28</v>
      </c>
      <c r="AI511" s="1" t="s">
        <v>78</v>
      </c>
    </row>
    <row r="512" spans="1:35" ht="12.5" hidden="1" x14ac:dyDescent="0.25">
      <c r="A512" s="1">
        <v>508</v>
      </c>
      <c r="B512" s="1" t="s">
        <v>1386</v>
      </c>
      <c r="C512" s="1" t="s">
        <v>1387</v>
      </c>
      <c r="D512" s="1" t="s">
        <v>282</v>
      </c>
      <c r="E512" s="1" t="s">
        <v>102</v>
      </c>
      <c r="F512" s="1" t="s">
        <v>63</v>
      </c>
      <c r="G512" s="1" t="s">
        <v>64</v>
      </c>
      <c r="H512" s="1" t="s">
        <v>41</v>
      </c>
      <c r="I512" s="1" t="s">
        <v>53</v>
      </c>
      <c r="J512" s="1">
        <v>1.2</v>
      </c>
      <c r="K512" s="1" t="s">
        <v>1009</v>
      </c>
      <c r="L512" s="1" t="s">
        <v>90</v>
      </c>
      <c r="M512" s="1" t="s">
        <v>91</v>
      </c>
      <c r="N512" s="1" t="s">
        <v>92</v>
      </c>
      <c r="O512" s="2">
        <v>45716</v>
      </c>
      <c r="P512" s="2">
        <v>45717</v>
      </c>
      <c r="Q512" s="1" t="b">
        <v>1</v>
      </c>
      <c r="R512" s="1">
        <v>2</v>
      </c>
      <c r="S512" s="1" t="b">
        <v>1</v>
      </c>
      <c r="T512" s="2">
        <v>45726</v>
      </c>
      <c r="U512" s="1" t="b">
        <v>1</v>
      </c>
      <c r="V512" s="2">
        <v>45735</v>
      </c>
      <c r="W512" s="1" t="b">
        <v>1</v>
      </c>
      <c r="X512" s="2">
        <v>45736</v>
      </c>
      <c r="Y512" s="1">
        <v>91</v>
      </c>
      <c r="Z512" s="1">
        <v>56</v>
      </c>
      <c r="AA512" s="1">
        <v>63</v>
      </c>
      <c r="AB512" s="1" t="b">
        <v>0</v>
      </c>
      <c r="AD512" s="1" t="b">
        <v>0</v>
      </c>
      <c r="AF512" s="1" t="s">
        <v>47</v>
      </c>
      <c r="AG512" s="1" t="s">
        <v>152</v>
      </c>
      <c r="AH512" s="1">
        <v>20</v>
      </c>
      <c r="AI512" s="1" t="s">
        <v>70</v>
      </c>
    </row>
    <row r="513" spans="1:35" ht="12.5" hidden="1" x14ac:dyDescent="0.25">
      <c r="A513" s="1">
        <v>509</v>
      </c>
      <c r="B513" s="1" t="s">
        <v>1388</v>
      </c>
      <c r="C513" s="1" t="s">
        <v>1389</v>
      </c>
      <c r="D513" s="1" t="s">
        <v>96</v>
      </c>
      <c r="E513" s="1" t="s">
        <v>38</v>
      </c>
      <c r="F513" s="1" t="s">
        <v>63</v>
      </c>
      <c r="G513" s="1" t="s">
        <v>112</v>
      </c>
      <c r="H513" s="1" t="s">
        <v>65</v>
      </c>
      <c r="I513" s="1" t="s">
        <v>42</v>
      </c>
      <c r="J513" s="1">
        <v>5.7</v>
      </c>
      <c r="K513" s="1" t="s">
        <v>1390</v>
      </c>
      <c r="L513" s="1" t="s">
        <v>44</v>
      </c>
      <c r="M513" s="1" t="s">
        <v>146</v>
      </c>
      <c r="N513" s="1" t="s">
        <v>84</v>
      </c>
      <c r="O513" s="2">
        <v>45706</v>
      </c>
      <c r="P513" s="2">
        <v>45706</v>
      </c>
      <c r="Q513" s="1" t="b">
        <v>1</v>
      </c>
      <c r="R513" s="1">
        <v>0</v>
      </c>
      <c r="S513" s="1" t="b">
        <v>0</v>
      </c>
      <c r="U513" s="1" t="b">
        <v>0</v>
      </c>
      <c r="W513" s="1" t="b">
        <v>0</v>
      </c>
      <c r="Y513" s="1">
        <v>73</v>
      </c>
      <c r="Z513" s="1">
        <v>62</v>
      </c>
      <c r="AA513" s="1">
        <v>81</v>
      </c>
      <c r="AB513" s="1" t="b">
        <v>0</v>
      </c>
      <c r="AD513" s="1" t="b">
        <v>0</v>
      </c>
      <c r="AF513" s="1" t="s">
        <v>57</v>
      </c>
      <c r="AG513" s="1" t="s">
        <v>287</v>
      </c>
      <c r="AH513" s="1">
        <v>0</v>
      </c>
      <c r="AI513" s="1" t="s">
        <v>157</v>
      </c>
    </row>
    <row r="514" spans="1:35" ht="12.5" hidden="1" x14ac:dyDescent="0.25">
      <c r="A514" s="1">
        <v>510</v>
      </c>
      <c r="B514" s="1" t="s">
        <v>1391</v>
      </c>
      <c r="C514" s="1" t="s">
        <v>1392</v>
      </c>
      <c r="D514" s="1" t="s">
        <v>267</v>
      </c>
      <c r="E514" s="1" t="s">
        <v>38</v>
      </c>
      <c r="F514" s="1" t="s">
        <v>63</v>
      </c>
      <c r="G514" s="1" t="s">
        <v>112</v>
      </c>
      <c r="H514" s="1" t="s">
        <v>88</v>
      </c>
      <c r="I514" s="1" t="s">
        <v>42</v>
      </c>
      <c r="J514" s="1">
        <v>8.8000000000000007</v>
      </c>
      <c r="K514" s="1" t="s">
        <v>476</v>
      </c>
      <c r="L514" s="1" t="s">
        <v>90</v>
      </c>
      <c r="M514" s="1" t="s">
        <v>129</v>
      </c>
      <c r="N514" s="1" t="s">
        <v>46</v>
      </c>
      <c r="O514" s="2">
        <v>45742</v>
      </c>
      <c r="P514" s="2">
        <v>45747</v>
      </c>
      <c r="Q514" s="1" t="b">
        <v>1</v>
      </c>
      <c r="R514" s="1">
        <v>12</v>
      </c>
      <c r="S514" s="1" t="b">
        <v>1</v>
      </c>
      <c r="T514" s="2">
        <v>45754</v>
      </c>
      <c r="U514" s="1" t="b">
        <v>1</v>
      </c>
      <c r="V514" s="2">
        <v>45757</v>
      </c>
      <c r="W514" s="1" t="b">
        <v>1</v>
      </c>
      <c r="X514" s="2">
        <v>45758</v>
      </c>
      <c r="Y514" s="1">
        <v>84</v>
      </c>
      <c r="Z514" s="1">
        <v>70</v>
      </c>
      <c r="AA514" s="1">
        <v>81</v>
      </c>
      <c r="AB514" s="1" t="b">
        <v>1</v>
      </c>
      <c r="AC514" s="2">
        <v>45760</v>
      </c>
      <c r="AD514" s="1" t="b">
        <v>1</v>
      </c>
      <c r="AE514" s="2">
        <v>45761</v>
      </c>
      <c r="AF514" s="1" t="s">
        <v>134</v>
      </c>
      <c r="AH514" s="1">
        <v>19</v>
      </c>
      <c r="AI514" s="1" t="s">
        <v>58</v>
      </c>
    </row>
    <row r="515" spans="1:35" ht="12.5" hidden="1" x14ac:dyDescent="0.25">
      <c r="A515" s="1">
        <v>511</v>
      </c>
      <c r="B515" s="1" t="s">
        <v>1393</v>
      </c>
      <c r="C515" s="1" t="s">
        <v>1394</v>
      </c>
      <c r="D515" s="1" t="s">
        <v>267</v>
      </c>
      <c r="E515" s="1" t="s">
        <v>62</v>
      </c>
      <c r="F515" s="1" t="s">
        <v>74</v>
      </c>
      <c r="G515" s="1" t="s">
        <v>64</v>
      </c>
      <c r="H515" s="1" t="s">
        <v>41</v>
      </c>
      <c r="I515" s="1" t="s">
        <v>82</v>
      </c>
      <c r="J515" s="1">
        <v>2</v>
      </c>
      <c r="K515" s="1" t="s">
        <v>349</v>
      </c>
      <c r="L515" s="1" t="s">
        <v>114</v>
      </c>
      <c r="M515" s="1" t="s">
        <v>115</v>
      </c>
      <c r="N515" s="1" t="s">
        <v>92</v>
      </c>
      <c r="O515" s="2">
        <v>45691</v>
      </c>
      <c r="P515" s="2">
        <v>45695</v>
      </c>
      <c r="Q515" s="1" t="b">
        <v>1</v>
      </c>
      <c r="R515" s="1">
        <v>7</v>
      </c>
      <c r="S515" s="1" t="b">
        <v>1</v>
      </c>
      <c r="T515" s="2">
        <v>45698</v>
      </c>
      <c r="U515" s="1" t="b">
        <v>1</v>
      </c>
      <c r="V515" s="2">
        <v>45709</v>
      </c>
      <c r="W515" s="1" t="b">
        <v>1</v>
      </c>
      <c r="X515" s="2">
        <v>45717</v>
      </c>
      <c r="Y515" s="1">
        <v>58</v>
      </c>
      <c r="Z515" s="1">
        <v>66</v>
      </c>
      <c r="AA515" s="1">
        <v>65</v>
      </c>
      <c r="AB515" s="1" t="b">
        <v>0</v>
      </c>
      <c r="AD515" s="1" t="b">
        <v>0</v>
      </c>
      <c r="AF515" s="1" t="s">
        <v>47</v>
      </c>
      <c r="AG515" s="1" t="s">
        <v>176</v>
      </c>
      <c r="AH515" s="1">
        <v>26</v>
      </c>
      <c r="AI515" s="1" t="s">
        <v>48</v>
      </c>
    </row>
    <row r="516" spans="1:35" ht="12.5" hidden="1" x14ac:dyDescent="0.25">
      <c r="A516" s="1">
        <v>512</v>
      </c>
      <c r="B516" s="1" t="s">
        <v>1395</v>
      </c>
      <c r="C516" s="1" t="s">
        <v>1396</v>
      </c>
      <c r="D516" s="1" t="s">
        <v>1019</v>
      </c>
      <c r="E516" s="1" t="s">
        <v>62</v>
      </c>
      <c r="F516" s="1" t="s">
        <v>39</v>
      </c>
      <c r="G516" s="1" t="s">
        <v>40</v>
      </c>
      <c r="H516" s="1" t="s">
        <v>65</v>
      </c>
      <c r="I516" s="1" t="s">
        <v>42</v>
      </c>
      <c r="J516" s="1">
        <v>7.1</v>
      </c>
      <c r="K516" s="1" t="s">
        <v>104</v>
      </c>
      <c r="L516" s="1" t="s">
        <v>67</v>
      </c>
      <c r="M516" s="1" t="s">
        <v>115</v>
      </c>
      <c r="N516" s="1" t="s">
        <v>46</v>
      </c>
      <c r="O516" s="2">
        <v>45714</v>
      </c>
      <c r="P516" s="2">
        <v>45717</v>
      </c>
      <c r="Q516" s="1" t="b">
        <v>1</v>
      </c>
      <c r="R516" s="1">
        <v>0</v>
      </c>
      <c r="S516" s="1" t="b">
        <v>1</v>
      </c>
      <c r="T516" s="2">
        <v>45726</v>
      </c>
      <c r="U516" s="1" t="b">
        <v>1</v>
      </c>
      <c r="V516" s="2">
        <v>45736</v>
      </c>
      <c r="W516" s="1" t="b">
        <v>1</v>
      </c>
      <c r="X516" s="2">
        <v>45740</v>
      </c>
      <c r="Y516" s="1">
        <v>64</v>
      </c>
      <c r="Z516" s="1">
        <v>87</v>
      </c>
      <c r="AA516" s="1">
        <v>71</v>
      </c>
      <c r="AB516" s="1" t="b">
        <v>0</v>
      </c>
      <c r="AD516" s="1" t="b">
        <v>0</v>
      </c>
      <c r="AF516" s="1" t="s">
        <v>47</v>
      </c>
      <c r="AH516" s="1">
        <v>26</v>
      </c>
      <c r="AI516" s="1" t="s">
        <v>78</v>
      </c>
    </row>
    <row r="517" spans="1:35" ht="12.5" hidden="1" x14ac:dyDescent="0.25">
      <c r="A517" s="1">
        <v>513</v>
      </c>
      <c r="B517" s="1" t="s">
        <v>1397</v>
      </c>
      <c r="C517" s="1" t="s">
        <v>1398</v>
      </c>
      <c r="D517" s="1" t="s">
        <v>418</v>
      </c>
      <c r="E517" s="1" t="s">
        <v>38</v>
      </c>
      <c r="F517" s="1" t="s">
        <v>74</v>
      </c>
      <c r="G517" s="1" t="s">
        <v>139</v>
      </c>
      <c r="H517" s="1" t="s">
        <v>41</v>
      </c>
      <c r="I517" s="1" t="s">
        <v>42</v>
      </c>
      <c r="J517" s="1">
        <v>6.9</v>
      </c>
      <c r="K517" s="1" t="s">
        <v>1383</v>
      </c>
      <c r="L517" s="1" t="s">
        <v>141</v>
      </c>
      <c r="M517" s="1" t="s">
        <v>91</v>
      </c>
      <c r="N517" s="1" t="s">
        <v>116</v>
      </c>
      <c r="O517" s="2">
        <v>45710</v>
      </c>
      <c r="P517" s="2">
        <v>45710</v>
      </c>
      <c r="Q517" s="1" t="b">
        <v>1</v>
      </c>
      <c r="R517" s="1">
        <v>6</v>
      </c>
      <c r="S517" s="1" t="b">
        <v>1</v>
      </c>
      <c r="T517" s="2">
        <v>45720</v>
      </c>
      <c r="U517" s="1" t="b">
        <v>1</v>
      </c>
      <c r="V517" s="2">
        <v>45723</v>
      </c>
      <c r="W517" s="1" t="b">
        <v>1</v>
      </c>
      <c r="X517" s="2">
        <v>45724</v>
      </c>
      <c r="Y517" s="1">
        <v>92</v>
      </c>
      <c r="Z517" s="1">
        <v>92</v>
      </c>
      <c r="AA517" s="1">
        <v>87</v>
      </c>
      <c r="AB517" s="1" t="b">
        <v>0</v>
      </c>
      <c r="AD517" s="1" t="b">
        <v>0</v>
      </c>
      <c r="AF517" s="1" t="s">
        <v>47</v>
      </c>
      <c r="AG517" s="1" t="s">
        <v>287</v>
      </c>
      <c r="AH517" s="1">
        <v>14</v>
      </c>
      <c r="AI517" s="1" t="s">
        <v>58</v>
      </c>
    </row>
    <row r="518" spans="1:35" ht="12.5" hidden="1" x14ac:dyDescent="0.25">
      <c r="A518" s="1">
        <v>514</v>
      </c>
      <c r="B518" s="1" t="s">
        <v>1399</v>
      </c>
      <c r="C518" s="1" t="s">
        <v>1400</v>
      </c>
      <c r="D518" s="1" t="s">
        <v>237</v>
      </c>
      <c r="E518" s="1" t="s">
        <v>38</v>
      </c>
      <c r="F518" s="1" t="s">
        <v>111</v>
      </c>
      <c r="G518" s="1" t="s">
        <v>139</v>
      </c>
      <c r="H518" s="1" t="s">
        <v>41</v>
      </c>
      <c r="I518" s="1" t="s">
        <v>53</v>
      </c>
      <c r="J518" s="1">
        <v>6.8</v>
      </c>
      <c r="K518" s="1" t="s">
        <v>422</v>
      </c>
      <c r="L518" s="1" t="s">
        <v>67</v>
      </c>
      <c r="M518" s="1" t="s">
        <v>56</v>
      </c>
      <c r="N518" s="1" t="s">
        <v>116</v>
      </c>
      <c r="O518" s="2">
        <v>45791</v>
      </c>
      <c r="P518" s="2">
        <v>45793</v>
      </c>
      <c r="Q518" s="1" t="b">
        <v>1</v>
      </c>
      <c r="R518" s="1">
        <v>10</v>
      </c>
      <c r="S518" s="1" t="b">
        <v>1</v>
      </c>
      <c r="T518" s="2">
        <v>45794</v>
      </c>
      <c r="U518" s="1" t="b">
        <v>1</v>
      </c>
      <c r="V518" s="2">
        <v>45805</v>
      </c>
      <c r="W518" s="1" t="b">
        <v>0</v>
      </c>
      <c r="Y518" s="1">
        <v>78</v>
      </c>
      <c r="Z518" s="1">
        <v>61</v>
      </c>
      <c r="AA518" s="1">
        <v>70</v>
      </c>
      <c r="AB518" s="1" t="b">
        <v>0</v>
      </c>
      <c r="AD518" s="1" t="b">
        <v>0</v>
      </c>
      <c r="AF518" s="1" t="s">
        <v>105</v>
      </c>
      <c r="AG518" s="1" t="s">
        <v>234</v>
      </c>
      <c r="AH518" s="1">
        <v>14</v>
      </c>
      <c r="AI518" s="1" t="s">
        <v>135</v>
      </c>
    </row>
    <row r="519" spans="1:35" ht="12.5" x14ac:dyDescent="0.25">
      <c r="A519" s="1">
        <v>515</v>
      </c>
      <c r="B519" s="1" t="s">
        <v>1401</v>
      </c>
      <c r="C519" s="1" t="s">
        <v>1402</v>
      </c>
      <c r="D519" s="1" t="s">
        <v>205</v>
      </c>
      <c r="E519" s="1" t="s">
        <v>102</v>
      </c>
      <c r="F519" s="1" t="s">
        <v>39</v>
      </c>
      <c r="G519" s="1" t="s">
        <v>75</v>
      </c>
      <c r="H519" s="1" t="s">
        <v>65</v>
      </c>
      <c r="I519" s="1" t="s">
        <v>53</v>
      </c>
      <c r="J519" s="1">
        <v>2.2000000000000002</v>
      </c>
      <c r="K519" s="1" t="s">
        <v>1365</v>
      </c>
      <c r="L519" s="1" t="s">
        <v>44</v>
      </c>
      <c r="M519" s="1" t="s">
        <v>146</v>
      </c>
      <c r="N519" s="1" t="s">
        <v>46</v>
      </c>
      <c r="O519" s="2">
        <v>45681</v>
      </c>
      <c r="P519" s="2">
        <v>45681</v>
      </c>
      <c r="Q519" s="1" t="b">
        <v>0</v>
      </c>
      <c r="S519" s="1" t="b">
        <v>0</v>
      </c>
      <c r="U519" s="1" t="b">
        <v>0</v>
      </c>
      <c r="W519" s="1" t="b">
        <v>0</v>
      </c>
      <c r="Y519" s="1">
        <v>67</v>
      </c>
      <c r="Z519" s="1">
        <v>67</v>
      </c>
      <c r="AA519" s="1">
        <v>76</v>
      </c>
      <c r="AB519" s="1" t="b">
        <v>0</v>
      </c>
      <c r="AD519" s="1" t="b">
        <v>0</v>
      </c>
      <c r="AF519" s="1" t="s">
        <v>77</v>
      </c>
      <c r="AG519" s="1" t="s">
        <v>69</v>
      </c>
      <c r="AH519" s="1">
        <v>0</v>
      </c>
      <c r="AI519" s="1" t="s">
        <v>157</v>
      </c>
    </row>
    <row r="520" spans="1:35" ht="12.5" hidden="1" x14ac:dyDescent="0.25">
      <c r="A520" s="1">
        <v>516</v>
      </c>
      <c r="B520" s="1" t="s">
        <v>1403</v>
      </c>
      <c r="C520" s="1" t="s">
        <v>1404</v>
      </c>
      <c r="D520" s="1" t="s">
        <v>73</v>
      </c>
      <c r="E520" s="1" t="s">
        <v>62</v>
      </c>
      <c r="F520" s="1" t="s">
        <v>39</v>
      </c>
      <c r="G520" s="1" t="s">
        <v>64</v>
      </c>
      <c r="H520" s="1" t="s">
        <v>41</v>
      </c>
      <c r="I520" s="1" t="s">
        <v>103</v>
      </c>
      <c r="J520" s="1">
        <v>9.4</v>
      </c>
      <c r="K520" s="1" t="s">
        <v>1405</v>
      </c>
      <c r="L520" s="1" t="s">
        <v>114</v>
      </c>
      <c r="M520" s="1" t="s">
        <v>56</v>
      </c>
      <c r="N520" s="1" t="s">
        <v>116</v>
      </c>
      <c r="O520" s="2">
        <v>45797</v>
      </c>
      <c r="P520" s="2">
        <v>45799</v>
      </c>
      <c r="Q520" s="1" t="b">
        <v>1</v>
      </c>
      <c r="R520" s="1">
        <v>7</v>
      </c>
      <c r="S520" s="1" t="b">
        <v>1</v>
      </c>
      <c r="T520" s="2">
        <v>45803</v>
      </c>
      <c r="U520" s="1" t="b">
        <v>1</v>
      </c>
      <c r="V520" s="2">
        <v>45815</v>
      </c>
      <c r="W520" s="1" t="b">
        <v>1</v>
      </c>
      <c r="X520" s="2">
        <v>45819</v>
      </c>
      <c r="Y520" s="1">
        <v>91</v>
      </c>
      <c r="Z520" s="1">
        <v>88</v>
      </c>
      <c r="AA520" s="1">
        <v>99</v>
      </c>
      <c r="AB520" s="1" t="b">
        <v>1</v>
      </c>
      <c r="AC520" s="2">
        <v>45825</v>
      </c>
      <c r="AD520" s="1" t="b">
        <v>1</v>
      </c>
      <c r="AE520" s="2">
        <v>45830</v>
      </c>
      <c r="AF520" s="1" t="s">
        <v>134</v>
      </c>
      <c r="AH520" s="1">
        <v>33</v>
      </c>
      <c r="AI520" s="1" t="s">
        <v>70</v>
      </c>
    </row>
    <row r="521" spans="1:35" ht="12.5" hidden="1" x14ac:dyDescent="0.25">
      <c r="A521" s="1">
        <v>517</v>
      </c>
      <c r="B521" s="1" t="s">
        <v>1406</v>
      </c>
      <c r="C521" s="1" t="s">
        <v>1407</v>
      </c>
      <c r="D521" s="1" t="s">
        <v>1199</v>
      </c>
      <c r="E521" s="1" t="s">
        <v>102</v>
      </c>
      <c r="F521" s="1" t="s">
        <v>39</v>
      </c>
      <c r="G521" s="1" t="s">
        <v>75</v>
      </c>
      <c r="H521" s="1" t="s">
        <v>88</v>
      </c>
      <c r="I521" s="1" t="s">
        <v>42</v>
      </c>
      <c r="J521" s="1">
        <v>8.9</v>
      </c>
      <c r="K521" s="1" t="s">
        <v>1408</v>
      </c>
      <c r="L521" s="1" t="s">
        <v>67</v>
      </c>
      <c r="M521" s="1" t="s">
        <v>129</v>
      </c>
      <c r="N521" s="1" t="s">
        <v>116</v>
      </c>
      <c r="O521" s="2">
        <v>45702</v>
      </c>
      <c r="P521" s="2">
        <v>45704</v>
      </c>
      <c r="Q521" s="1" t="b">
        <v>1</v>
      </c>
      <c r="R521" s="1">
        <v>9</v>
      </c>
      <c r="S521" s="1" t="b">
        <v>1</v>
      </c>
      <c r="T521" s="2">
        <v>45706</v>
      </c>
      <c r="U521" s="1" t="b">
        <v>1</v>
      </c>
      <c r="V521" s="2">
        <v>45714</v>
      </c>
      <c r="W521" s="1" t="b">
        <v>0</v>
      </c>
      <c r="Y521" s="1">
        <v>86</v>
      </c>
      <c r="Z521" s="1">
        <v>86</v>
      </c>
      <c r="AA521" s="1">
        <v>82</v>
      </c>
      <c r="AB521" s="1" t="b">
        <v>0</v>
      </c>
      <c r="AD521" s="1" t="b">
        <v>0</v>
      </c>
      <c r="AF521" s="1" t="s">
        <v>105</v>
      </c>
      <c r="AG521" s="1" t="s">
        <v>117</v>
      </c>
      <c r="AH521" s="1">
        <v>12</v>
      </c>
      <c r="AI521" s="1" t="s">
        <v>78</v>
      </c>
    </row>
    <row r="522" spans="1:35" ht="12.5" hidden="1" x14ac:dyDescent="0.25">
      <c r="A522" s="1">
        <v>518</v>
      </c>
      <c r="B522" s="1" t="s">
        <v>1409</v>
      </c>
      <c r="C522" s="1" t="s">
        <v>1410</v>
      </c>
      <c r="D522" s="1" t="s">
        <v>560</v>
      </c>
      <c r="E522" s="1" t="s">
        <v>62</v>
      </c>
      <c r="F522" s="1" t="s">
        <v>63</v>
      </c>
      <c r="G522" s="1" t="s">
        <v>64</v>
      </c>
      <c r="H522" s="1" t="s">
        <v>65</v>
      </c>
      <c r="I522" s="1" t="s">
        <v>42</v>
      </c>
      <c r="J522" s="1">
        <v>9.1</v>
      </c>
      <c r="K522" s="1" t="s">
        <v>226</v>
      </c>
      <c r="L522" s="1" t="s">
        <v>141</v>
      </c>
      <c r="M522" s="1" t="s">
        <v>68</v>
      </c>
      <c r="N522" s="1" t="s">
        <v>46</v>
      </c>
      <c r="O522" s="2">
        <v>45714</v>
      </c>
      <c r="P522" s="2">
        <v>45714</v>
      </c>
      <c r="Q522" s="1" t="b">
        <v>1</v>
      </c>
      <c r="R522" s="1">
        <v>11</v>
      </c>
      <c r="S522" s="1" t="b">
        <v>1</v>
      </c>
      <c r="T522" s="2">
        <v>45723</v>
      </c>
      <c r="U522" s="1" t="b">
        <v>1</v>
      </c>
      <c r="V522" s="2">
        <v>45737</v>
      </c>
      <c r="W522" s="1" t="b">
        <v>1</v>
      </c>
      <c r="X522" s="2">
        <v>45740</v>
      </c>
      <c r="Y522" s="1">
        <v>69</v>
      </c>
      <c r="Z522" s="1">
        <v>75</v>
      </c>
      <c r="AA522" s="1">
        <v>81</v>
      </c>
      <c r="AB522" s="1" t="b">
        <v>0</v>
      </c>
      <c r="AD522" s="1" t="b">
        <v>0</v>
      </c>
      <c r="AF522" s="1" t="s">
        <v>47</v>
      </c>
      <c r="AG522" s="1" t="s">
        <v>207</v>
      </c>
      <c r="AH522" s="1">
        <v>26</v>
      </c>
      <c r="AI522" s="1" t="s">
        <v>135</v>
      </c>
    </row>
    <row r="523" spans="1:35" ht="12.5" hidden="1" x14ac:dyDescent="0.25">
      <c r="A523" s="1">
        <v>519</v>
      </c>
      <c r="B523" s="1" t="s">
        <v>1411</v>
      </c>
      <c r="C523" s="1" t="s">
        <v>1412</v>
      </c>
      <c r="D523" s="1" t="s">
        <v>174</v>
      </c>
      <c r="E523" s="1" t="s">
        <v>62</v>
      </c>
      <c r="F523" s="1" t="s">
        <v>74</v>
      </c>
      <c r="G523" s="1" t="s">
        <v>64</v>
      </c>
      <c r="H523" s="1" t="s">
        <v>88</v>
      </c>
      <c r="I523" s="1" t="s">
        <v>53</v>
      </c>
      <c r="J523" s="1">
        <v>4.5</v>
      </c>
      <c r="K523" s="1" t="s">
        <v>264</v>
      </c>
      <c r="L523" s="1" t="s">
        <v>44</v>
      </c>
      <c r="M523" s="1" t="s">
        <v>68</v>
      </c>
      <c r="N523" s="1" t="s">
        <v>46</v>
      </c>
      <c r="O523" s="2">
        <v>45725</v>
      </c>
      <c r="P523" s="2">
        <v>45732</v>
      </c>
      <c r="Q523" s="1" t="b">
        <v>1</v>
      </c>
      <c r="R523" s="1">
        <v>11</v>
      </c>
      <c r="S523" s="1" t="b">
        <v>0</v>
      </c>
      <c r="U523" s="1" t="b">
        <v>0</v>
      </c>
      <c r="W523" s="1" t="b">
        <v>0</v>
      </c>
      <c r="Y523" s="1">
        <v>77</v>
      </c>
      <c r="Z523" s="1">
        <v>63</v>
      </c>
      <c r="AA523" s="1">
        <v>68</v>
      </c>
      <c r="AB523" s="1" t="b">
        <v>0</v>
      </c>
      <c r="AD523" s="1" t="b">
        <v>0</v>
      </c>
      <c r="AF523" s="1" t="s">
        <v>57</v>
      </c>
      <c r="AG523" s="1" t="s">
        <v>124</v>
      </c>
      <c r="AH523" s="1">
        <v>7</v>
      </c>
      <c r="AI523" s="1" t="s">
        <v>78</v>
      </c>
    </row>
    <row r="524" spans="1:35" ht="12.5" x14ac:dyDescent="0.25">
      <c r="A524" s="1">
        <v>520</v>
      </c>
      <c r="B524" s="1" t="s">
        <v>1413</v>
      </c>
      <c r="C524" s="1" t="s">
        <v>1414</v>
      </c>
      <c r="D524" s="1" t="s">
        <v>205</v>
      </c>
      <c r="E524" s="1" t="s">
        <v>102</v>
      </c>
      <c r="F524" s="1" t="s">
        <v>111</v>
      </c>
      <c r="G524" s="1" t="s">
        <v>112</v>
      </c>
      <c r="H524" s="1" t="s">
        <v>88</v>
      </c>
      <c r="I524" s="1" t="s">
        <v>53</v>
      </c>
      <c r="J524" s="1">
        <v>3.6</v>
      </c>
      <c r="K524" s="1" t="s">
        <v>730</v>
      </c>
      <c r="L524" s="1" t="s">
        <v>55</v>
      </c>
      <c r="M524" s="1" t="s">
        <v>129</v>
      </c>
      <c r="N524" s="1" t="s">
        <v>84</v>
      </c>
      <c r="O524" s="2">
        <v>45744</v>
      </c>
      <c r="P524" s="2">
        <v>45745</v>
      </c>
      <c r="Q524" s="1" t="b">
        <v>0</v>
      </c>
      <c r="S524" s="1" t="b">
        <v>0</v>
      </c>
      <c r="U524" s="1" t="b">
        <v>0</v>
      </c>
      <c r="W524" s="1" t="b">
        <v>0</v>
      </c>
      <c r="Y524" s="1">
        <v>61</v>
      </c>
      <c r="Z524" s="1">
        <v>70</v>
      </c>
      <c r="AA524" s="1">
        <v>57</v>
      </c>
      <c r="AB524" s="1" t="b">
        <v>0</v>
      </c>
      <c r="AD524" s="1" t="b">
        <v>0</v>
      </c>
      <c r="AF524" s="1" t="s">
        <v>77</v>
      </c>
      <c r="AG524" s="1" t="s">
        <v>69</v>
      </c>
      <c r="AH524" s="1">
        <v>1</v>
      </c>
      <c r="AI524" s="1" t="s">
        <v>48</v>
      </c>
    </row>
    <row r="525" spans="1:35" ht="12.5" hidden="1" x14ac:dyDescent="0.25">
      <c r="A525" s="1">
        <v>521</v>
      </c>
      <c r="B525" s="1" t="s">
        <v>1415</v>
      </c>
      <c r="C525" s="1" t="s">
        <v>1416</v>
      </c>
      <c r="D525" s="1" t="s">
        <v>836</v>
      </c>
      <c r="E525" s="1" t="s">
        <v>62</v>
      </c>
      <c r="F525" s="1" t="s">
        <v>74</v>
      </c>
      <c r="G525" s="1" t="s">
        <v>139</v>
      </c>
      <c r="H525" s="1" t="s">
        <v>41</v>
      </c>
      <c r="I525" s="1" t="s">
        <v>42</v>
      </c>
      <c r="J525" s="1">
        <v>8.1</v>
      </c>
      <c r="K525" s="1" t="s">
        <v>141</v>
      </c>
      <c r="L525" s="1" t="s">
        <v>141</v>
      </c>
      <c r="M525" s="1" t="s">
        <v>45</v>
      </c>
      <c r="N525" s="1" t="s">
        <v>116</v>
      </c>
      <c r="O525" s="2">
        <v>45762</v>
      </c>
      <c r="P525" s="2">
        <v>45765</v>
      </c>
      <c r="Q525" s="1" t="b">
        <v>1</v>
      </c>
      <c r="R525" s="1">
        <v>12</v>
      </c>
      <c r="S525" s="1" t="b">
        <v>1</v>
      </c>
      <c r="T525" s="2">
        <v>45773</v>
      </c>
      <c r="U525" s="1" t="b">
        <v>0</v>
      </c>
      <c r="W525" s="1" t="b">
        <v>0</v>
      </c>
      <c r="Y525" s="1">
        <v>79</v>
      </c>
      <c r="Z525" s="1">
        <v>92</v>
      </c>
      <c r="AA525" s="1">
        <v>89</v>
      </c>
      <c r="AB525" s="1" t="b">
        <v>0</v>
      </c>
      <c r="AD525" s="1" t="b">
        <v>0</v>
      </c>
      <c r="AF525" s="1" t="s">
        <v>151</v>
      </c>
      <c r="AG525" s="1" t="s">
        <v>361</v>
      </c>
      <c r="AH525" s="1">
        <v>11</v>
      </c>
      <c r="AI525" s="1" t="s">
        <v>78</v>
      </c>
    </row>
    <row r="526" spans="1:35" ht="12.5" x14ac:dyDescent="0.25">
      <c r="A526" s="1">
        <v>522</v>
      </c>
      <c r="B526" s="1" t="s">
        <v>1417</v>
      </c>
      <c r="C526" s="1" t="s">
        <v>1418</v>
      </c>
      <c r="D526" s="1" t="s">
        <v>500</v>
      </c>
      <c r="E526" s="1" t="s">
        <v>62</v>
      </c>
      <c r="F526" s="1" t="s">
        <v>63</v>
      </c>
      <c r="G526" s="1" t="s">
        <v>97</v>
      </c>
      <c r="H526" s="1" t="s">
        <v>65</v>
      </c>
      <c r="I526" s="1" t="s">
        <v>42</v>
      </c>
      <c r="J526" s="1">
        <v>6.4</v>
      </c>
      <c r="K526" s="1" t="s">
        <v>769</v>
      </c>
      <c r="L526" s="1" t="s">
        <v>141</v>
      </c>
      <c r="M526" s="1" t="s">
        <v>56</v>
      </c>
      <c r="N526" s="1" t="s">
        <v>92</v>
      </c>
      <c r="O526" s="2">
        <v>45732</v>
      </c>
      <c r="P526" s="2">
        <v>45732</v>
      </c>
      <c r="Q526" s="1" t="b">
        <v>0</v>
      </c>
      <c r="S526" s="1" t="b">
        <v>0</v>
      </c>
      <c r="U526" s="1" t="b">
        <v>0</v>
      </c>
      <c r="W526" s="1" t="b">
        <v>0</v>
      </c>
      <c r="Y526" s="1">
        <v>82</v>
      </c>
      <c r="Z526" s="1">
        <v>79</v>
      </c>
      <c r="AA526" s="1">
        <v>84</v>
      </c>
      <c r="AB526" s="1" t="b">
        <v>0</v>
      </c>
      <c r="AD526" s="1" t="b">
        <v>0</v>
      </c>
      <c r="AF526" s="1" t="s">
        <v>77</v>
      </c>
      <c r="AG526" s="1" t="s">
        <v>69</v>
      </c>
      <c r="AH526" s="1">
        <v>0</v>
      </c>
      <c r="AI526" s="1" t="s">
        <v>48</v>
      </c>
    </row>
    <row r="527" spans="1:35" ht="12.5" hidden="1" x14ac:dyDescent="0.25">
      <c r="A527" s="1">
        <v>523</v>
      </c>
      <c r="B527" s="1" t="s">
        <v>1419</v>
      </c>
      <c r="C527" s="1" t="s">
        <v>1420</v>
      </c>
      <c r="D527" s="1" t="s">
        <v>359</v>
      </c>
      <c r="E527" s="1" t="s">
        <v>102</v>
      </c>
      <c r="F527" s="1" t="s">
        <v>74</v>
      </c>
      <c r="G527" s="1" t="s">
        <v>40</v>
      </c>
      <c r="H527" s="1" t="s">
        <v>41</v>
      </c>
      <c r="I527" s="1" t="s">
        <v>53</v>
      </c>
      <c r="J527" s="1">
        <v>3.4</v>
      </c>
      <c r="K527" s="1" t="s">
        <v>973</v>
      </c>
      <c r="L527" s="1" t="s">
        <v>44</v>
      </c>
      <c r="M527" s="1" t="s">
        <v>115</v>
      </c>
      <c r="N527" s="1" t="s">
        <v>116</v>
      </c>
      <c r="O527" s="2">
        <v>45807</v>
      </c>
      <c r="P527" s="2">
        <v>45807</v>
      </c>
      <c r="Q527" s="1" t="b">
        <v>1</v>
      </c>
      <c r="R527" s="1">
        <v>6</v>
      </c>
      <c r="S527" s="1" t="b">
        <v>0</v>
      </c>
      <c r="U527" s="1" t="b">
        <v>0</v>
      </c>
      <c r="W527" s="1" t="b">
        <v>0</v>
      </c>
      <c r="Y527" s="1">
        <v>88</v>
      </c>
      <c r="Z527" s="1">
        <v>72</v>
      </c>
      <c r="AA527" s="1">
        <v>99</v>
      </c>
      <c r="AB527" s="1" t="b">
        <v>0</v>
      </c>
      <c r="AD527" s="1" t="b">
        <v>0</v>
      </c>
      <c r="AF527" s="1" t="s">
        <v>57</v>
      </c>
      <c r="AH527" s="1">
        <v>0</v>
      </c>
      <c r="AI527" s="1" t="s">
        <v>215</v>
      </c>
    </row>
    <row r="528" spans="1:35" ht="12.5" hidden="1" x14ac:dyDescent="0.25">
      <c r="A528" s="1">
        <v>524</v>
      </c>
      <c r="B528" s="1" t="s">
        <v>1421</v>
      </c>
      <c r="C528" s="1" t="s">
        <v>1422</v>
      </c>
      <c r="D528" s="1" t="s">
        <v>568</v>
      </c>
      <c r="E528" s="1" t="s">
        <v>102</v>
      </c>
      <c r="F528" s="1" t="s">
        <v>74</v>
      </c>
      <c r="G528" s="1" t="s">
        <v>97</v>
      </c>
      <c r="H528" s="1" t="s">
        <v>41</v>
      </c>
      <c r="I528" s="1" t="s">
        <v>53</v>
      </c>
      <c r="J528" s="1">
        <v>5.5</v>
      </c>
      <c r="K528" s="1" t="s">
        <v>730</v>
      </c>
      <c r="L528" s="1" t="s">
        <v>44</v>
      </c>
      <c r="M528" s="1" t="s">
        <v>91</v>
      </c>
      <c r="N528" s="1" t="s">
        <v>116</v>
      </c>
      <c r="O528" s="2">
        <v>45673</v>
      </c>
      <c r="P528" s="2">
        <v>45678</v>
      </c>
      <c r="Q528" s="1" t="b">
        <v>1</v>
      </c>
      <c r="R528" s="1">
        <v>4</v>
      </c>
      <c r="S528" s="1" t="b">
        <v>1</v>
      </c>
      <c r="T528" s="2">
        <v>45679</v>
      </c>
      <c r="U528" s="1" t="b">
        <v>1</v>
      </c>
      <c r="V528" s="2">
        <v>45690</v>
      </c>
      <c r="W528" s="1" t="b">
        <v>1</v>
      </c>
      <c r="X528" s="2">
        <v>45695</v>
      </c>
      <c r="Y528" s="1">
        <v>66</v>
      </c>
      <c r="Z528" s="1">
        <v>76</v>
      </c>
      <c r="AA528" s="1">
        <v>60</v>
      </c>
      <c r="AB528" s="1" t="b">
        <v>0</v>
      </c>
      <c r="AD528" s="1" t="b">
        <v>0</v>
      </c>
      <c r="AF528" s="1" t="s">
        <v>47</v>
      </c>
      <c r="AH528" s="1">
        <v>22</v>
      </c>
      <c r="AI528" s="1" t="s">
        <v>165</v>
      </c>
    </row>
    <row r="529" spans="1:35" ht="12.5" hidden="1" x14ac:dyDescent="0.25">
      <c r="A529" s="1">
        <v>525</v>
      </c>
      <c r="B529" s="1" t="s">
        <v>1423</v>
      </c>
      <c r="C529" s="1" t="s">
        <v>1424</v>
      </c>
      <c r="D529" s="1" t="s">
        <v>205</v>
      </c>
      <c r="E529" s="1" t="s">
        <v>62</v>
      </c>
      <c r="F529" s="1" t="s">
        <v>39</v>
      </c>
      <c r="G529" s="1" t="s">
        <v>112</v>
      </c>
      <c r="H529" s="1" t="s">
        <v>65</v>
      </c>
      <c r="I529" s="1" t="s">
        <v>53</v>
      </c>
      <c r="J529" s="1">
        <v>4.7</v>
      </c>
      <c r="K529" s="1" t="s">
        <v>161</v>
      </c>
      <c r="L529" s="1" t="s">
        <v>67</v>
      </c>
      <c r="M529" s="1" t="s">
        <v>91</v>
      </c>
      <c r="N529" s="1" t="s">
        <v>84</v>
      </c>
      <c r="O529" s="2">
        <v>45783</v>
      </c>
      <c r="P529" s="2">
        <v>45785</v>
      </c>
      <c r="Q529" s="1" t="b">
        <v>1</v>
      </c>
      <c r="R529" s="1">
        <v>3</v>
      </c>
      <c r="S529" s="1" t="b">
        <v>1</v>
      </c>
      <c r="T529" s="2">
        <v>45793</v>
      </c>
      <c r="U529" s="1" t="b">
        <v>1</v>
      </c>
      <c r="V529" s="2">
        <v>45796</v>
      </c>
      <c r="W529" s="1" t="b">
        <v>1</v>
      </c>
      <c r="X529" s="2">
        <v>45801</v>
      </c>
      <c r="Y529" s="1">
        <v>75</v>
      </c>
      <c r="Z529" s="1">
        <v>89</v>
      </c>
      <c r="AA529" s="1">
        <v>84</v>
      </c>
      <c r="AB529" s="1" t="b">
        <v>1</v>
      </c>
      <c r="AC529" s="2">
        <v>45807</v>
      </c>
      <c r="AD529" s="1" t="b">
        <v>0</v>
      </c>
      <c r="AF529" s="1" t="s">
        <v>316</v>
      </c>
      <c r="AH529" s="1">
        <v>24</v>
      </c>
      <c r="AI529" s="1" t="s">
        <v>215</v>
      </c>
    </row>
    <row r="530" spans="1:35" ht="12.5" hidden="1" x14ac:dyDescent="0.25">
      <c r="A530" s="1">
        <v>526</v>
      </c>
      <c r="B530" s="1" t="s">
        <v>1425</v>
      </c>
      <c r="C530" s="1" t="s">
        <v>1426</v>
      </c>
      <c r="D530" s="1" t="s">
        <v>293</v>
      </c>
      <c r="E530" s="1" t="s">
        <v>52</v>
      </c>
      <c r="F530" s="1" t="s">
        <v>74</v>
      </c>
      <c r="G530" s="1" t="s">
        <v>75</v>
      </c>
      <c r="H530" s="1" t="s">
        <v>65</v>
      </c>
      <c r="I530" s="1" t="s">
        <v>82</v>
      </c>
      <c r="J530" s="1">
        <v>2.5</v>
      </c>
      <c r="K530" s="1" t="s">
        <v>1330</v>
      </c>
      <c r="L530" s="1" t="s">
        <v>90</v>
      </c>
      <c r="M530" s="1" t="s">
        <v>146</v>
      </c>
      <c r="N530" s="1" t="s">
        <v>84</v>
      </c>
      <c r="O530" s="2">
        <v>45719</v>
      </c>
      <c r="P530" s="2">
        <v>45719</v>
      </c>
      <c r="Q530" s="1" t="b">
        <v>1</v>
      </c>
      <c r="R530" s="1">
        <v>9</v>
      </c>
      <c r="S530" s="1" t="b">
        <v>0</v>
      </c>
      <c r="U530" s="1" t="b">
        <v>0</v>
      </c>
      <c r="W530" s="1" t="b">
        <v>0</v>
      </c>
      <c r="Y530" s="1">
        <v>68</v>
      </c>
      <c r="Z530" s="1">
        <v>56</v>
      </c>
      <c r="AA530" s="1">
        <v>48</v>
      </c>
      <c r="AB530" s="1" t="b">
        <v>0</v>
      </c>
      <c r="AD530" s="1" t="b">
        <v>0</v>
      </c>
      <c r="AF530" s="1" t="s">
        <v>57</v>
      </c>
      <c r="AH530" s="1">
        <v>0</v>
      </c>
      <c r="AI530" s="1" t="s">
        <v>215</v>
      </c>
    </row>
    <row r="531" spans="1:35" ht="12.5" hidden="1" x14ac:dyDescent="0.25">
      <c r="A531" s="1">
        <v>527</v>
      </c>
      <c r="B531" s="1" t="s">
        <v>1427</v>
      </c>
      <c r="C531" s="1" t="s">
        <v>1428</v>
      </c>
      <c r="D531" s="1" t="s">
        <v>195</v>
      </c>
      <c r="E531" s="1" t="s">
        <v>102</v>
      </c>
      <c r="F531" s="1" t="s">
        <v>111</v>
      </c>
      <c r="G531" s="1" t="s">
        <v>97</v>
      </c>
      <c r="H531" s="1" t="s">
        <v>65</v>
      </c>
      <c r="I531" s="1" t="s">
        <v>82</v>
      </c>
      <c r="J531" s="1">
        <v>4</v>
      </c>
      <c r="K531" s="1" t="s">
        <v>272</v>
      </c>
      <c r="L531" s="1" t="s">
        <v>90</v>
      </c>
      <c r="M531" s="1" t="s">
        <v>56</v>
      </c>
      <c r="N531" s="1" t="s">
        <v>92</v>
      </c>
      <c r="O531" s="2">
        <v>45681</v>
      </c>
      <c r="P531" s="2">
        <v>45684</v>
      </c>
      <c r="Q531" s="1" t="b">
        <v>1</v>
      </c>
      <c r="R531" s="1">
        <v>5</v>
      </c>
      <c r="S531" s="1" t="b">
        <v>1</v>
      </c>
      <c r="T531" s="2">
        <v>45690</v>
      </c>
      <c r="U531" s="1" t="b">
        <v>1</v>
      </c>
      <c r="V531" s="2">
        <v>45697</v>
      </c>
      <c r="W531" s="1" t="b">
        <v>1</v>
      </c>
      <c r="X531" s="2">
        <v>45698</v>
      </c>
      <c r="Y531" s="1">
        <v>63</v>
      </c>
      <c r="Z531" s="1">
        <v>79</v>
      </c>
      <c r="AA531" s="1">
        <v>75</v>
      </c>
      <c r="AB531" s="1" t="b">
        <v>0</v>
      </c>
      <c r="AD531" s="1" t="b">
        <v>0</v>
      </c>
      <c r="AF531" s="1" t="s">
        <v>47</v>
      </c>
      <c r="AG531" s="1" t="s">
        <v>207</v>
      </c>
      <c r="AH531" s="1">
        <v>17</v>
      </c>
      <c r="AI531" s="1" t="s">
        <v>157</v>
      </c>
    </row>
    <row r="532" spans="1:35" ht="12.5" x14ac:dyDescent="0.25">
      <c r="A532" s="1">
        <v>528</v>
      </c>
      <c r="B532" s="1" t="s">
        <v>1429</v>
      </c>
      <c r="C532" s="1" t="s">
        <v>1430</v>
      </c>
      <c r="D532" s="1" t="s">
        <v>598</v>
      </c>
      <c r="E532" s="1" t="s">
        <v>38</v>
      </c>
      <c r="F532" s="1" t="s">
        <v>74</v>
      </c>
      <c r="G532" s="1" t="s">
        <v>112</v>
      </c>
      <c r="H532" s="1" t="s">
        <v>65</v>
      </c>
      <c r="I532" s="1" t="s">
        <v>42</v>
      </c>
      <c r="J532" s="1">
        <v>5.9</v>
      </c>
      <c r="K532" s="1" t="s">
        <v>868</v>
      </c>
      <c r="L532" s="1" t="s">
        <v>55</v>
      </c>
      <c r="M532" s="1" t="s">
        <v>68</v>
      </c>
      <c r="N532" s="1" t="s">
        <v>116</v>
      </c>
      <c r="O532" s="2">
        <v>45744</v>
      </c>
      <c r="P532" s="2">
        <v>45745</v>
      </c>
      <c r="Q532" s="1" t="b">
        <v>1</v>
      </c>
      <c r="R532" s="1">
        <v>5</v>
      </c>
      <c r="S532" s="1" t="b">
        <v>1</v>
      </c>
      <c r="T532" s="2">
        <v>45755</v>
      </c>
      <c r="U532" s="1" t="b">
        <v>0</v>
      </c>
      <c r="W532" s="1" t="b">
        <v>0</v>
      </c>
      <c r="Y532" s="1">
        <v>99</v>
      </c>
      <c r="Z532" s="1">
        <v>80</v>
      </c>
      <c r="AA532" s="1">
        <v>83</v>
      </c>
      <c r="AB532" s="1" t="b">
        <v>0</v>
      </c>
      <c r="AD532" s="1" t="b">
        <v>0</v>
      </c>
      <c r="AF532" s="1" t="s">
        <v>151</v>
      </c>
      <c r="AG532" s="1" t="s">
        <v>69</v>
      </c>
      <c r="AH532" s="1">
        <v>11</v>
      </c>
      <c r="AI532" s="1" t="s">
        <v>118</v>
      </c>
    </row>
    <row r="533" spans="1:35" ht="12.5" x14ac:dyDescent="0.25">
      <c r="A533" s="1">
        <v>529</v>
      </c>
      <c r="B533" s="1" t="s">
        <v>1431</v>
      </c>
      <c r="C533" s="1" t="s">
        <v>1432</v>
      </c>
      <c r="D533" s="1" t="s">
        <v>344</v>
      </c>
      <c r="E533" s="1" t="s">
        <v>62</v>
      </c>
      <c r="F533" s="1" t="s">
        <v>111</v>
      </c>
      <c r="G533" s="1" t="s">
        <v>139</v>
      </c>
      <c r="H533" s="1" t="s">
        <v>41</v>
      </c>
      <c r="I533" s="1" t="s">
        <v>42</v>
      </c>
      <c r="J533" s="1">
        <v>7</v>
      </c>
      <c r="K533" s="1" t="s">
        <v>561</v>
      </c>
      <c r="L533" s="1" t="s">
        <v>90</v>
      </c>
      <c r="M533" s="1" t="s">
        <v>146</v>
      </c>
      <c r="N533" s="1" t="s">
        <v>84</v>
      </c>
      <c r="O533" s="2">
        <v>45769</v>
      </c>
      <c r="P533" s="2">
        <v>45769</v>
      </c>
      <c r="Q533" s="1" t="b">
        <v>0</v>
      </c>
      <c r="S533" s="1" t="b">
        <v>0</v>
      </c>
      <c r="U533" s="1" t="b">
        <v>0</v>
      </c>
      <c r="W533" s="1" t="b">
        <v>0</v>
      </c>
      <c r="Y533" s="1">
        <v>86</v>
      </c>
      <c r="Z533" s="1">
        <v>79</v>
      </c>
      <c r="AA533" s="1">
        <v>92</v>
      </c>
      <c r="AB533" s="1" t="b">
        <v>0</v>
      </c>
      <c r="AD533" s="1" t="b">
        <v>0</v>
      </c>
      <c r="AF533" s="1" t="s">
        <v>77</v>
      </c>
      <c r="AG533" s="1" t="s">
        <v>69</v>
      </c>
      <c r="AH533" s="1">
        <v>0</v>
      </c>
      <c r="AI533" s="1" t="s">
        <v>58</v>
      </c>
    </row>
    <row r="534" spans="1:35" ht="12.5" x14ac:dyDescent="0.25">
      <c r="A534" s="1">
        <v>530</v>
      </c>
      <c r="B534" s="1" t="s">
        <v>1433</v>
      </c>
      <c r="C534" s="1" t="s">
        <v>1434</v>
      </c>
      <c r="D534" s="1" t="s">
        <v>1014</v>
      </c>
      <c r="E534" s="1" t="s">
        <v>52</v>
      </c>
      <c r="F534" s="1" t="s">
        <v>63</v>
      </c>
      <c r="G534" s="1" t="s">
        <v>139</v>
      </c>
      <c r="H534" s="1" t="s">
        <v>65</v>
      </c>
      <c r="I534" s="1" t="s">
        <v>53</v>
      </c>
      <c r="J534" s="1">
        <v>3.7</v>
      </c>
      <c r="K534" s="1" t="s">
        <v>565</v>
      </c>
      <c r="L534" s="1" t="s">
        <v>90</v>
      </c>
      <c r="M534" s="1" t="s">
        <v>115</v>
      </c>
      <c r="N534" s="1" t="s">
        <v>116</v>
      </c>
      <c r="O534" s="2">
        <v>45756</v>
      </c>
      <c r="P534" s="2">
        <v>45756</v>
      </c>
      <c r="Q534" s="1" t="b">
        <v>0</v>
      </c>
      <c r="S534" s="1" t="b">
        <v>0</v>
      </c>
      <c r="U534" s="1" t="b">
        <v>0</v>
      </c>
      <c r="W534" s="1" t="b">
        <v>0</v>
      </c>
      <c r="Y534" s="1">
        <v>62</v>
      </c>
      <c r="Z534" s="1">
        <v>86</v>
      </c>
      <c r="AA534" s="1">
        <v>67</v>
      </c>
      <c r="AB534" s="1" t="b">
        <v>0</v>
      </c>
      <c r="AD534" s="1" t="b">
        <v>0</v>
      </c>
      <c r="AF534" s="1" t="s">
        <v>77</v>
      </c>
      <c r="AG534" s="1" t="s">
        <v>69</v>
      </c>
      <c r="AH534" s="1">
        <v>0</v>
      </c>
      <c r="AI534" s="1" t="s">
        <v>135</v>
      </c>
    </row>
    <row r="535" spans="1:35" ht="12.5" hidden="1" x14ac:dyDescent="0.25">
      <c r="A535" s="1">
        <v>531</v>
      </c>
      <c r="B535" s="1" t="s">
        <v>1435</v>
      </c>
      <c r="C535" s="1" t="s">
        <v>1436</v>
      </c>
      <c r="D535" s="1" t="s">
        <v>37</v>
      </c>
      <c r="E535" s="1" t="s">
        <v>102</v>
      </c>
      <c r="F535" s="1" t="s">
        <v>111</v>
      </c>
      <c r="G535" s="1" t="s">
        <v>40</v>
      </c>
      <c r="H535" s="1" t="s">
        <v>88</v>
      </c>
      <c r="I535" s="1" t="s">
        <v>82</v>
      </c>
      <c r="J535" s="1">
        <v>1.7</v>
      </c>
      <c r="K535" s="1" t="s">
        <v>246</v>
      </c>
      <c r="L535" s="1" t="s">
        <v>114</v>
      </c>
      <c r="M535" s="1" t="s">
        <v>123</v>
      </c>
      <c r="N535" s="1" t="s">
        <v>46</v>
      </c>
      <c r="O535" s="2">
        <v>45752</v>
      </c>
      <c r="P535" s="2">
        <v>45756</v>
      </c>
      <c r="Q535" s="1" t="b">
        <v>1</v>
      </c>
      <c r="R535" s="1">
        <v>7</v>
      </c>
      <c r="S535" s="1" t="b">
        <v>1</v>
      </c>
      <c r="T535" s="2">
        <v>45759</v>
      </c>
      <c r="U535" s="1" t="b">
        <v>1</v>
      </c>
      <c r="V535" s="2">
        <v>45770</v>
      </c>
      <c r="W535" s="1" t="b">
        <v>1</v>
      </c>
      <c r="X535" s="2">
        <v>45776</v>
      </c>
      <c r="Y535" s="1">
        <v>56</v>
      </c>
      <c r="Z535" s="1">
        <v>60</v>
      </c>
      <c r="AA535" s="1">
        <v>61</v>
      </c>
      <c r="AB535" s="1" t="b">
        <v>0</v>
      </c>
      <c r="AD535" s="1" t="b">
        <v>0</v>
      </c>
      <c r="AF535" s="1" t="s">
        <v>47</v>
      </c>
      <c r="AH535" s="1">
        <v>24</v>
      </c>
      <c r="AI535" s="1" t="s">
        <v>93</v>
      </c>
    </row>
    <row r="536" spans="1:35" ht="12.5" x14ac:dyDescent="0.25">
      <c r="A536" s="1">
        <v>532</v>
      </c>
      <c r="B536" s="1" t="s">
        <v>1437</v>
      </c>
      <c r="C536" s="1" t="s">
        <v>1438</v>
      </c>
      <c r="D536" s="1" t="s">
        <v>436</v>
      </c>
      <c r="E536" s="1" t="s">
        <v>38</v>
      </c>
      <c r="F536" s="1" t="s">
        <v>63</v>
      </c>
      <c r="G536" s="1" t="s">
        <v>139</v>
      </c>
      <c r="H536" s="1" t="s">
        <v>65</v>
      </c>
      <c r="I536" s="1" t="s">
        <v>103</v>
      </c>
      <c r="J536" s="1">
        <v>10.1</v>
      </c>
      <c r="K536" s="1" t="s">
        <v>113</v>
      </c>
      <c r="L536" s="1" t="s">
        <v>114</v>
      </c>
      <c r="M536" s="1" t="s">
        <v>123</v>
      </c>
      <c r="N536" s="1" t="s">
        <v>92</v>
      </c>
      <c r="O536" s="2">
        <v>45668</v>
      </c>
      <c r="P536" s="2">
        <v>45668</v>
      </c>
      <c r="Q536" s="1" t="b">
        <v>0</v>
      </c>
      <c r="S536" s="1" t="b">
        <v>0</v>
      </c>
      <c r="U536" s="1" t="b">
        <v>0</v>
      </c>
      <c r="W536" s="1" t="b">
        <v>0</v>
      </c>
      <c r="Y536" s="1">
        <v>84</v>
      </c>
      <c r="Z536" s="1">
        <v>83</v>
      </c>
      <c r="AA536" s="1">
        <v>87</v>
      </c>
      <c r="AB536" s="1" t="b">
        <v>0</v>
      </c>
      <c r="AD536" s="1" t="b">
        <v>0</v>
      </c>
      <c r="AF536" s="1" t="s">
        <v>77</v>
      </c>
      <c r="AG536" s="1" t="s">
        <v>69</v>
      </c>
      <c r="AH536" s="1">
        <v>0</v>
      </c>
      <c r="AI536" s="1" t="s">
        <v>78</v>
      </c>
    </row>
    <row r="537" spans="1:35" ht="12.5" x14ac:dyDescent="0.25">
      <c r="A537" s="1">
        <v>533</v>
      </c>
      <c r="B537" s="1" t="s">
        <v>1439</v>
      </c>
      <c r="C537" s="1" t="s">
        <v>1440</v>
      </c>
      <c r="D537" s="1" t="s">
        <v>836</v>
      </c>
      <c r="E537" s="1" t="s">
        <v>52</v>
      </c>
      <c r="F537" s="1" t="s">
        <v>111</v>
      </c>
      <c r="G537" s="1" t="s">
        <v>112</v>
      </c>
      <c r="H537" s="1" t="s">
        <v>65</v>
      </c>
      <c r="I537" s="1" t="s">
        <v>53</v>
      </c>
      <c r="J537" s="1">
        <v>6.4</v>
      </c>
      <c r="K537" s="1" t="s">
        <v>312</v>
      </c>
      <c r="L537" s="1" t="s">
        <v>44</v>
      </c>
      <c r="M537" s="1" t="s">
        <v>91</v>
      </c>
      <c r="N537" s="1" t="s">
        <v>92</v>
      </c>
      <c r="O537" s="2">
        <v>45759</v>
      </c>
      <c r="P537" s="2">
        <v>45763</v>
      </c>
      <c r="Q537" s="1" t="b">
        <v>0</v>
      </c>
      <c r="S537" s="1" t="b">
        <v>0</v>
      </c>
      <c r="U537" s="1" t="b">
        <v>0</v>
      </c>
      <c r="W537" s="1" t="b">
        <v>0</v>
      </c>
      <c r="Y537" s="1">
        <v>63</v>
      </c>
      <c r="Z537" s="1">
        <v>79</v>
      </c>
      <c r="AA537" s="1">
        <v>74</v>
      </c>
      <c r="AB537" s="1" t="b">
        <v>0</v>
      </c>
      <c r="AD537" s="1" t="b">
        <v>0</v>
      </c>
      <c r="AF537" s="1" t="s">
        <v>77</v>
      </c>
      <c r="AG537" s="1" t="s">
        <v>69</v>
      </c>
      <c r="AH537" s="1">
        <v>4</v>
      </c>
      <c r="AI537" s="1" t="s">
        <v>118</v>
      </c>
    </row>
    <row r="538" spans="1:35" ht="12.5" hidden="1" x14ac:dyDescent="0.25">
      <c r="A538" s="1">
        <v>534</v>
      </c>
      <c r="B538" s="1" t="s">
        <v>464</v>
      </c>
      <c r="C538" s="1" t="s">
        <v>1441</v>
      </c>
      <c r="D538" s="1" t="s">
        <v>557</v>
      </c>
      <c r="E538" s="1" t="s">
        <v>38</v>
      </c>
      <c r="F538" s="1" t="s">
        <v>39</v>
      </c>
      <c r="G538" s="1" t="s">
        <v>139</v>
      </c>
      <c r="H538" s="1" t="s">
        <v>65</v>
      </c>
      <c r="I538" s="1" t="s">
        <v>53</v>
      </c>
      <c r="J538" s="1">
        <v>5.0999999999999996</v>
      </c>
      <c r="K538" s="1" t="s">
        <v>1233</v>
      </c>
      <c r="L538" s="1" t="s">
        <v>141</v>
      </c>
      <c r="M538" s="1" t="s">
        <v>91</v>
      </c>
      <c r="N538" s="1" t="s">
        <v>46</v>
      </c>
      <c r="O538" s="2">
        <v>45801</v>
      </c>
      <c r="P538" s="2">
        <v>45801</v>
      </c>
      <c r="Q538" s="1" t="b">
        <v>1</v>
      </c>
      <c r="R538" s="1">
        <v>12</v>
      </c>
      <c r="S538" s="1" t="b">
        <v>0</v>
      </c>
      <c r="U538" s="1" t="b">
        <v>0</v>
      </c>
      <c r="W538" s="1" t="b">
        <v>0</v>
      </c>
      <c r="Y538" s="1">
        <v>88</v>
      </c>
      <c r="Z538" s="1">
        <v>83</v>
      </c>
      <c r="AA538" s="1">
        <v>85</v>
      </c>
      <c r="AB538" s="1" t="b">
        <v>0</v>
      </c>
      <c r="AD538" s="1" t="b">
        <v>0</v>
      </c>
      <c r="AF538" s="1" t="s">
        <v>57</v>
      </c>
      <c r="AG538" s="1" t="s">
        <v>152</v>
      </c>
      <c r="AH538" s="1">
        <v>0</v>
      </c>
      <c r="AI538" s="1" t="s">
        <v>215</v>
      </c>
    </row>
    <row r="539" spans="1:35" ht="12.5" hidden="1" x14ac:dyDescent="0.25">
      <c r="A539" s="1">
        <v>535</v>
      </c>
      <c r="B539" s="1" t="s">
        <v>1442</v>
      </c>
      <c r="C539" s="1" t="s">
        <v>1443</v>
      </c>
      <c r="D539" s="1" t="s">
        <v>267</v>
      </c>
      <c r="E539" s="1" t="s">
        <v>102</v>
      </c>
      <c r="F539" s="1" t="s">
        <v>63</v>
      </c>
      <c r="G539" s="1" t="s">
        <v>40</v>
      </c>
      <c r="H539" s="1" t="s">
        <v>41</v>
      </c>
      <c r="I539" s="1" t="s">
        <v>53</v>
      </c>
      <c r="J539" s="1">
        <v>3.6</v>
      </c>
      <c r="K539" s="1" t="s">
        <v>67</v>
      </c>
      <c r="L539" s="1" t="s">
        <v>114</v>
      </c>
      <c r="M539" s="1" t="s">
        <v>68</v>
      </c>
      <c r="N539" s="1" t="s">
        <v>116</v>
      </c>
      <c r="O539" s="2">
        <v>45666</v>
      </c>
      <c r="P539" s="2">
        <v>45666</v>
      </c>
      <c r="Q539" s="1" t="b">
        <v>1</v>
      </c>
      <c r="R539" s="1">
        <v>5</v>
      </c>
      <c r="S539" s="1" t="b">
        <v>1</v>
      </c>
      <c r="T539" s="2">
        <v>45670</v>
      </c>
      <c r="U539" s="1" t="b">
        <v>0</v>
      </c>
      <c r="W539" s="1" t="b">
        <v>0</v>
      </c>
      <c r="Y539" s="1">
        <v>66</v>
      </c>
      <c r="Z539" s="1">
        <v>84</v>
      </c>
      <c r="AA539" s="1">
        <v>81</v>
      </c>
      <c r="AB539" s="1" t="b">
        <v>0</v>
      </c>
      <c r="AD539" s="1" t="b">
        <v>0</v>
      </c>
      <c r="AF539" s="1" t="s">
        <v>151</v>
      </c>
      <c r="AH539" s="1">
        <v>4</v>
      </c>
      <c r="AI539" s="1" t="s">
        <v>58</v>
      </c>
    </row>
    <row r="540" spans="1:35" ht="12.5" hidden="1" x14ac:dyDescent="0.25">
      <c r="A540" s="1">
        <v>536</v>
      </c>
      <c r="B540" s="1" t="s">
        <v>1444</v>
      </c>
      <c r="C540" s="1" t="s">
        <v>1445</v>
      </c>
      <c r="D540" s="1" t="s">
        <v>144</v>
      </c>
      <c r="E540" s="1" t="s">
        <v>102</v>
      </c>
      <c r="F540" s="1" t="s">
        <v>39</v>
      </c>
      <c r="G540" s="1" t="s">
        <v>97</v>
      </c>
      <c r="H540" s="1" t="s">
        <v>88</v>
      </c>
      <c r="I540" s="1" t="s">
        <v>53</v>
      </c>
      <c r="J540" s="1">
        <v>4.5999999999999996</v>
      </c>
      <c r="K540" s="1" t="s">
        <v>577</v>
      </c>
      <c r="L540" s="1" t="s">
        <v>55</v>
      </c>
      <c r="M540" s="1" t="s">
        <v>45</v>
      </c>
      <c r="N540" s="1" t="s">
        <v>46</v>
      </c>
      <c r="O540" s="2">
        <v>45775</v>
      </c>
      <c r="P540" s="2">
        <v>45782</v>
      </c>
      <c r="Q540" s="1" t="b">
        <v>1</v>
      </c>
      <c r="R540" s="1">
        <v>1</v>
      </c>
      <c r="S540" s="1" t="b">
        <v>1</v>
      </c>
      <c r="T540" s="2">
        <v>45788</v>
      </c>
      <c r="U540" s="1" t="b">
        <v>1</v>
      </c>
      <c r="V540" s="2">
        <v>45798</v>
      </c>
      <c r="W540" s="1" t="b">
        <v>1</v>
      </c>
      <c r="X540" s="2">
        <v>45804</v>
      </c>
      <c r="Y540" s="1">
        <v>79</v>
      </c>
      <c r="Z540" s="1">
        <v>70</v>
      </c>
      <c r="AA540" s="1">
        <v>75</v>
      </c>
      <c r="AB540" s="1" t="b">
        <v>1</v>
      </c>
      <c r="AC540" s="2">
        <v>45805</v>
      </c>
      <c r="AD540" s="1" t="b">
        <v>0</v>
      </c>
      <c r="AF540" s="1" t="s">
        <v>316</v>
      </c>
      <c r="AH540" s="1">
        <v>30</v>
      </c>
      <c r="AI540" s="1" t="s">
        <v>118</v>
      </c>
    </row>
    <row r="541" spans="1:35" ht="12.5" x14ac:dyDescent="0.25">
      <c r="A541" s="1">
        <v>537</v>
      </c>
      <c r="B541" s="1" t="s">
        <v>1446</v>
      </c>
      <c r="C541" s="1" t="s">
        <v>1447</v>
      </c>
      <c r="D541" s="1" t="s">
        <v>623</v>
      </c>
      <c r="E541" s="1" t="s">
        <v>52</v>
      </c>
      <c r="F541" s="1" t="s">
        <v>39</v>
      </c>
      <c r="G541" s="1" t="s">
        <v>64</v>
      </c>
      <c r="H541" s="1" t="s">
        <v>41</v>
      </c>
      <c r="I541" s="1" t="s">
        <v>42</v>
      </c>
      <c r="J541" s="1">
        <v>6</v>
      </c>
      <c r="K541" s="1" t="s">
        <v>919</v>
      </c>
      <c r="L541" s="1" t="s">
        <v>114</v>
      </c>
      <c r="M541" s="1" t="s">
        <v>123</v>
      </c>
      <c r="N541" s="1" t="s">
        <v>46</v>
      </c>
      <c r="O541" s="2">
        <v>45770</v>
      </c>
      <c r="P541" s="2">
        <v>45773</v>
      </c>
      <c r="Q541" s="1" t="b">
        <v>0</v>
      </c>
      <c r="S541" s="1" t="b">
        <v>0</v>
      </c>
      <c r="U541" s="1" t="b">
        <v>0</v>
      </c>
      <c r="W541" s="1" t="b">
        <v>0</v>
      </c>
      <c r="Y541" s="1">
        <v>79</v>
      </c>
      <c r="Z541" s="1">
        <v>70</v>
      </c>
      <c r="AA541" s="1">
        <v>66</v>
      </c>
      <c r="AB541" s="1" t="b">
        <v>0</v>
      </c>
      <c r="AD541" s="1" t="b">
        <v>0</v>
      </c>
      <c r="AF541" s="1" t="s">
        <v>77</v>
      </c>
      <c r="AG541" s="1" t="s">
        <v>69</v>
      </c>
      <c r="AH541" s="1">
        <v>3</v>
      </c>
      <c r="AI541" s="1" t="s">
        <v>157</v>
      </c>
    </row>
    <row r="542" spans="1:35" ht="12.5" x14ac:dyDescent="0.25">
      <c r="A542" s="1">
        <v>538</v>
      </c>
      <c r="B542" s="1" t="s">
        <v>1448</v>
      </c>
      <c r="C542" s="1" t="s">
        <v>1449</v>
      </c>
      <c r="D542" s="1" t="s">
        <v>108</v>
      </c>
      <c r="E542" s="1" t="s">
        <v>102</v>
      </c>
      <c r="F542" s="1" t="s">
        <v>111</v>
      </c>
      <c r="G542" s="1" t="s">
        <v>112</v>
      </c>
      <c r="H542" s="1" t="s">
        <v>88</v>
      </c>
      <c r="I542" s="1" t="s">
        <v>103</v>
      </c>
      <c r="J542" s="1">
        <v>11.1</v>
      </c>
      <c r="K542" s="1" t="s">
        <v>90</v>
      </c>
      <c r="L542" s="1" t="s">
        <v>141</v>
      </c>
      <c r="M542" s="1" t="s">
        <v>56</v>
      </c>
      <c r="N542" s="1" t="s">
        <v>116</v>
      </c>
      <c r="O542" s="2">
        <v>45782</v>
      </c>
      <c r="P542" s="2">
        <v>45787</v>
      </c>
      <c r="Q542" s="1" t="b">
        <v>0</v>
      </c>
      <c r="S542" s="1" t="b">
        <v>0</v>
      </c>
      <c r="U542" s="1" t="b">
        <v>0</v>
      </c>
      <c r="W542" s="1" t="b">
        <v>0</v>
      </c>
      <c r="Y542" s="1">
        <v>80</v>
      </c>
      <c r="Z542" s="1">
        <v>80</v>
      </c>
      <c r="AA542" s="1">
        <v>85</v>
      </c>
      <c r="AB542" s="1" t="b">
        <v>0</v>
      </c>
      <c r="AD542" s="1" t="b">
        <v>0</v>
      </c>
      <c r="AF542" s="1" t="s">
        <v>77</v>
      </c>
      <c r="AG542" s="1" t="s">
        <v>69</v>
      </c>
      <c r="AH542" s="1">
        <v>5</v>
      </c>
      <c r="AI542" s="1" t="s">
        <v>70</v>
      </c>
    </row>
    <row r="543" spans="1:35" ht="12.5" hidden="1" x14ac:dyDescent="0.25">
      <c r="A543" s="1">
        <v>539</v>
      </c>
      <c r="B543" s="1" t="s">
        <v>1450</v>
      </c>
      <c r="C543" s="1" t="s">
        <v>1451</v>
      </c>
      <c r="D543" s="1" t="s">
        <v>623</v>
      </c>
      <c r="E543" s="1" t="s">
        <v>102</v>
      </c>
      <c r="F543" s="1" t="s">
        <v>111</v>
      </c>
      <c r="G543" s="1" t="s">
        <v>40</v>
      </c>
      <c r="H543" s="1" t="s">
        <v>65</v>
      </c>
      <c r="I543" s="1" t="s">
        <v>53</v>
      </c>
      <c r="J543" s="1">
        <v>3.6</v>
      </c>
      <c r="K543" s="1" t="s">
        <v>298</v>
      </c>
      <c r="L543" s="1" t="s">
        <v>55</v>
      </c>
      <c r="M543" s="1" t="s">
        <v>45</v>
      </c>
      <c r="N543" s="1" t="s">
        <v>92</v>
      </c>
      <c r="O543" s="2">
        <v>45662</v>
      </c>
      <c r="P543" s="2">
        <v>45666</v>
      </c>
      <c r="Q543" s="1" t="b">
        <v>1</v>
      </c>
      <c r="R543" s="1">
        <v>6</v>
      </c>
      <c r="S543" s="1" t="b">
        <v>1</v>
      </c>
      <c r="T543" s="2">
        <v>45668</v>
      </c>
      <c r="U543" s="1" t="b">
        <v>1</v>
      </c>
      <c r="V543" s="2">
        <v>45680</v>
      </c>
      <c r="W543" s="1" t="b">
        <v>1</v>
      </c>
      <c r="X543" s="2">
        <v>45688</v>
      </c>
      <c r="Y543" s="1">
        <v>71</v>
      </c>
      <c r="Z543" s="1">
        <v>72</v>
      </c>
      <c r="AA543" s="1">
        <v>73</v>
      </c>
      <c r="AB543" s="1" t="b">
        <v>0</v>
      </c>
      <c r="AD543" s="1" t="b">
        <v>0</v>
      </c>
      <c r="AF543" s="1" t="s">
        <v>47</v>
      </c>
      <c r="AG543" s="1" t="s">
        <v>207</v>
      </c>
      <c r="AH543" s="1">
        <v>26</v>
      </c>
      <c r="AI543" s="1" t="s">
        <v>58</v>
      </c>
    </row>
    <row r="544" spans="1:35" ht="12.5" hidden="1" x14ac:dyDescent="0.25">
      <c r="A544" s="1">
        <v>540</v>
      </c>
      <c r="B544" s="1" t="s">
        <v>1452</v>
      </c>
      <c r="C544" s="1" t="s">
        <v>1453</v>
      </c>
      <c r="D544" s="1" t="s">
        <v>348</v>
      </c>
      <c r="E544" s="1" t="s">
        <v>38</v>
      </c>
      <c r="F544" s="1" t="s">
        <v>63</v>
      </c>
      <c r="G544" s="1" t="s">
        <v>139</v>
      </c>
      <c r="H544" s="1" t="s">
        <v>65</v>
      </c>
      <c r="I544" s="1" t="s">
        <v>53</v>
      </c>
      <c r="J544" s="1">
        <v>4.3</v>
      </c>
      <c r="K544" s="1" t="s">
        <v>809</v>
      </c>
      <c r="L544" s="1" t="s">
        <v>141</v>
      </c>
      <c r="M544" s="1" t="s">
        <v>56</v>
      </c>
      <c r="N544" s="1" t="s">
        <v>92</v>
      </c>
      <c r="O544" s="2">
        <v>45756</v>
      </c>
      <c r="P544" s="2">
        <v>45762</v>
      </c>
      <c r="Q544" s="1" t="b">
        <v>1</v>
      </c>
      <c r="R544" s="1">
        <v>10</v>
      </c>
      <c r="S544" s="1" t="b">
        <v>0</v>
      </c>
      <c r="U544" s="1" t="b">
        <v>0</v>
      </c>
      <c r="W544" s="1" t="b">
        <v>0</v>
      </c>
      <c r="Y544" s="1">
        <v>82</v>
      </c>
      <c r="Z544" s="1">
        <v>69</v>
      </c>
      <c r="AA544" s="1">
        <v>66</v>
      </c>
      <c r="AB544" s="1" t="b">
        <v>0</v>
      </c>
      <c r="AD544" s="1" t="b">
        <v>0</v>
      </c>
      <c r="AF544" s="1" t="s">
        <v>57</v>
      </c>
      <c r="AG544" s="1" t="s">
        <v>287</v>
      </c>
      <c r="AH544" s="1">
        <v>6</v>
      </c>
      <c r="AI544" s="1" t="s">
        <v>118</v>
      </c>
    </row>
    <row r="545" spans="1:35" ht="12.5" hidden="1" x14ac:dyDescent="0.25">
      <c r="A545" s="1">
        <v>541</v>
      </c>
      <c r="B545" s="1" t="s">
        <v>1454</v>
      </c>
      <c r="C545" s="1" t="s">
        <v>1455</v>
      </c>
      <c r="D545" s="1" t="s">
        <v>1199</v>
      </c>
      <c r="E545" s="1" t="s">
        <v>52</v>
      </c>
      <c r="F545" s="1" t="s">
        <v>39</v>
      </c>
      <c r="G545" s="1" t="s">
        <v>64</v>
      </c>
      <c r="H545" s="1" t="s">
        <v>88</v>
      </c>
      <c r="I545" s="1" t="s">
        <v>53</v>
      </c>
      <c r="J545" s="1">
        <v>1.9</v>
      </c>
      <c r="K545" s="1" t="s">
        <v>648</v>
      </c>
      <c r="L545" s="1" t="s">
        <v>67</v>
      </c>
      <c r="M545" s="1" t="s">
        <v>129</v>
      </c>
      <c r="N545" s="1" t="s">
        <v>46</v>
      </c>
      <c r="O545" s="2">
        <v>45743</v>
      </c>
      <c r="P545" s="2">
        <v>45745</v>
      </c>
      <c r="Q545" s="1" t="b">
        <v>1</v>
      </c>
      <c r="R545" s="1">
        <v>6</v>
      </c>
      <c r="S545" s="1" t="b">
        <v>1</v>
      </c>
      <c r="T545" s="2">
        <v>45755</v>
      </c>
      <c r="U545" s="1" t="b">
        <v>1</v>
      </c>
      <c r="V545" s="2">
        <v>45767</v>
      </c>
      <c r="W545" s="1" t="b">
        <v>1</v>
      </c>
      <c r="X545" s="2">
        <v>45774</v>
      </c>
      <c r="Y545" s="1">
        <v>73</v>
      </c>
      <c r="Z545" s="1">
        <v>68</v>
      </c>
      <c r="AA545" s="1">
        <v>68</v>
      </c>
      <c r="AB545" s="1" t="b">
        <v>0</v>
      </c>
      <c r="AD545" s="1" t="b">
        <v>0</v>
      </c>
      <c r="AF545" s="1" t="s">
        <v>47</v>
      </c>
      <c r="AH545" s="1">
        <v>31</v>
      </c>
      <c r="AI545" s="1" t="s">
        <v>157</v>
      </c>
    </row>
    <row r="546" spans="1:35" ht="12.5" hidden="1" x14ac:dyDescent="0.25">
      <c r="A546" s="1">
        <v>542</v>
      </c>
      <c r="B546" s="1" t="s">
        <v>1456</v>
      </c>
      <c r="C546" s="1" t="s">
        <v>1457</v>
      </c>
      <c r="D546" s="1" t="s">
        <v>1349</v>
      </c>
      <c r="E546" s="1" t="s">
        <v>38</v>
      </c>
      <c r="F546" s="1" t="s">
        <v>39</v>
      </c>
      <c r="G546" s="1" t="s">
        <v>112</v>
      </c>
      <c r="H546" s="1" t="s">
        <v>88</v>
      </c>
      <c r="I546" s="1" t="s">
        <v>103</v>
      </c>
      <c r="J546" s="1">
        <v>11.6</v>
      </c>
      <c r="K546" s="1" t="s">
        <v>535</v>
      </c>
      <c r="L546" s="1" t="s">
        <v>90</v>
      </c>
      <c r="M546" s="1" t="s">
        <v>129</v>
      </c>
      <c r="N546" s="1" t="s">
        <v>84</v>
      </c>
      <c r="O546" s="2">
        <v>45683</v>
      </c>
      <c r="P546" s="2">
        <v>45690</v>
      </c>
      <c r="Q546" s="1" t="b">
        <v>1</v>
      </c>
      <c r="R546" s="1">
        <v>0</v>
      </c>
      <c r="S546" s="1" t="b">
        <v>1</v>
      </c>
      <c r="T546" s="2">
        <v>45700</v>
      </c>
      <c r="U546" s="1" t="b">
        <v>1</v>
      </c>
      <c r="V546" s="2">
        <v>45714</v>
      </c>
      <c r="W546" s="1" t="b">
        <v>1</v>
      </c>
      <c r="X546" s="2">
        <v>45719</v>
      </c>
      <c r="Y546" s="1">
        <v>100</v>
      </c>
      <c r="Z546" s="1">
        <v>87</v>
      </c>
      <c r="AA546" s="1">
        <v>94</v>
      </c>
      <c r="AB546" s="1" t="b">
        <v>1</v>
      </c>
      <c r="AC546" s="2">
        <v>45723</v>
      </c>
      <c r="AD546" s="1" t="b">
        <v>1</v>
      </c>
      <c r="AE546" s="2">
        <v>45726</v>
      </c>
      <c r="AF546" s="1" t="s">
        <v>134</v>
      </c>
      <c r="AH546" s="1">
        <v>43</v>
      </c>
      <c r="AI546" s="1" t="s">
        <v>135</v>
      </c>
    </row>
    <row r="547" spans="1:35" ht="12.5" hidden="1" x14ac:dyDescent="0.25">
      <c r="A547" s="1">
        <v>543</v>
      </c>
      <c r="B547" s="1" t="s">
        <v>1458</v>
      </c>
      <c r="C547" s="1" t="s">
        <v>1459</v>
      </c>
      <c r="D547" s="1" t="s">
        <v>367</v>
      </c>
      <c r="E547" s="1" t="s">
        <v>102</v>
      </c>
      <c r="F547" s="1" t="s">
        <v>39</v>
      </c>
      <c r="G547" s="1" t="s">
        <v>75</v>
      </c>
      <c r="H547" s="1" t="s">
        <v>41</v>
      </c>
      <c r="I547" s="1" t="s">
        <v>53</v>
      </c>
      <c r="J547" s="1">
        <v>5.2</v>
      </c>
      <c r="K547" s="1" t="s">
        <v>192</v>
      </c>
      <c r="L547" s="1" t="s">
        <v>67</v>
      </c>
      <c r="M547" s="1" t="s">
        <v>56</v>
      </c>
      <c r="N547" s="1" t="s">
        <v>84</v>
      </c>
      <c r="O547" s="2">
        <v>45701</v>
      </c>
      <c r="P547" s="2">
        <v>45701</v>
      </c>
      <c r="Q547" s="1" t="b">
        <v>1</v>
      </c>
      <c r="R547" s="1">
        <v>8</v>
      </c>
      <c r="S547" s="1" t="b">
        <v>1</v>
      </c>
      <c r="T547" s="2">
        <v>45702</v>
      </c>
      <c r="U547" s="1" t="b">
        <v>1</v>
      </c>
      <c r="V547" s="2">
        <v>45714</v>
      </c>
      <c r="W547" s="1" t="b">
        <v>1</v>
      </c>
      <c r="X547" s="2">
        <v>45720</v>
      </c>
      <c r="Y547" s="1">
        <v>83</v>
      </c>
      <c r="Z547" s="1">
        <v>69</v>
      </c>
      <c r="AA547" s="1">
        <v>77</v>
      </c>
      <c r="AB547" s="1" t="b">
        <v>0</v>
      </c>
      <c r="AD547" s="1" t="b">
        <v>0</v>
      </c>
      <c r="AF547" s="1" t="s">
        <v>47</v>
      </c>
      <c r="AH547" s="1">
        <v>19</v>
      </c>
      <c r="AI547" s="1" t="s">
        <v>135</v>
      </c>
    </row>
    <row r="548" spans="1:35" ht="12.5" hidden="1" x14ac:dyDescent="0.25">
      <c r="A548" s="1">
        <v>544</v>
      </c>
      <c r="B548" s="1" t="s">
        <v>1460</v>
      </c>
      <c r="C548" s="1" t="s">
        <v>1461</v>
      </c>
      <c r="D548" s="1" t="s">
        <v>179</v>
      </c>
      <c r="E548" s="1" t="s">
        <v>102</v>
      </c>
      <c r="F548" s="1" t="s">
        <v>111</v>
      </c>
      <c r="G548" s="1" t="s">
        <v>75</v>
      </c>
      <c r="H548" s="1" t="s">
        <v>88</v>
      </c>
      <c r="I548" s="1" t="s">
        <v>103</v>
      </c>
      <c r="J548" s="1">
        <v>10.5</v>
      </c>
      <c r="K548" s="1" t="s">
        <v>828</v>
      </c>
      <c r="L548" s="1" t="s">
        <v>44</v>
      </c>
      <c r="M548" s="1" t="s">
        <v>146</v>
      </c>
      <c r="N548" s="1" t="s">
        <v>84</v>
      </c>
      <c r="O548" s="2">
        <v>45747</v>
      </c>
      <c r="P548" s="2">
        <v>45750</v>
      </c>
      <c r="Q548" s="1" t="b">
        <v>1</v>
      </c>
      <c r="R548" s="1">
        <v>8</v>
      </c>
      <c r="S548" s="1" t="b">
        <v>1</v>
      </c>
      <c r="T548" s="2">
        <v>45757</v>
      </c>
      <c r="U548" s="1" t="b">
        <v>0</v>
      </c>
      <c r="W548" s="1" t="b">
        <v>0</v>
      </c>
      <c r="Y548" s="1">
        <v>93</v>
      </c>
      <c r="Z548" s="1">
        <v>58</v>
      </c>
      <c r="AA548" s="1">
        <v>76</v>
      </c>
      <c r="AB548" s="1" t="b">
        <v>0</v>
      </c>
      <c r="AD548" s="1" t="b">
        <v>0</v>
      </c>
      <c r="AF548" s="1" t="s">
        <v>151</v>
      </c>
      <c r="AG548" s="1" t="s">
        <v>361</v>
      </c>
      <c r="AH548" s="1">
        <v>10</v>
      </c>
      <c r="AI548" s="1" t="s">
        <v>135</v>
      </c>
    </row>
    <row r="549" spans="1:35" ht="12.5" hidden="1" x14ac:dyDescent="0.25">
      <c r="A549" s="1">
        <v>545</v>
      </c>
      <c r="B549" s="1" t="s">
        <v>1462</v>
      </c>
      <c r="C549" s="1" t="s">
        <v>1463</v>
      </c>
      <c r="D549" s="1" t="s">
        <v>382</v>
      </c>
      <c r="E549" s="1" t="s">
        <v>52</v>
      </c>
      <c r="F549" s="1" t="s">
        <v>63</v>
      </c>
      <c r="G549" s="1" t="s">
        <v>139</v>
      </c>
      <c r="H549" s="1" t="s">
        <v>88</v>
      </c>
      <c r="I549" s="1" t="s">
        <v>53</v>
      </c>
      <c r="J549" s="1">
        <v>3.7</v>
      </c>
      <c r="K549" s="1" t="s">
        <v>727</v>
      </c>
      <c r="L549" s="1" t="s">
        <v>67</v>
      </c>
      <c r="M549" s="1" t="s">
        <v>91</v>
      </c>
      <c r="N549" s="1" t="s">
        <v>92</v>
      </c>
      <c r="O549" s="2">
        <v>45744</v>
      </c>
      <c r="P549" s="2">
        <v>45744</v>
      </c>
      <c r="Q549" s="1" t="b">
        <v>1</v>
      </c>
      <c r="R549" s="1">
        <v>4</v>
      </c>
      <c r="S549" s="1" t="b">
        <v>0</v>
      </c>
      <c r="U549" s="1" t="b">
        <v>0</v>
      </c>
      <c r="W549" s="1" t="b">
        <v>0</v>
      </c>
      <c r="Y549" s="1">
        <v>86</v>
      </c>
      <c r="Z549" s="1">
        <v>60</v>
      </c>
      <c r="AA549" s="1">
        <v>66</v>
      </c>
      <c r="AB549" s="1" t="b">
        <v>0</v>
      </c>
      <c r="AD549" s="1" t="b">
        <v>0</v>
      </c>
      <c r="AF549" s="1" t="s">
        <v>57</v>
      </c>
      <c r="AH549" s="1">
        <v>0</v>
      </c>
      <c r="AI549" s="1" t="s">
        <v>215</v>
      </c>
    </row>
    <row r="550" spans="1:35" ht="12.5" hidden="1" x14ac:dyDescent="0.25">
      <c r="A550" s="1">
        <v>546</v>
      </c>
      <c r="B550" s="1" t="s">
        <v>1464</v>
      </c>
      <c r="C550" s="1" t="s">
        <v>1465</v>
      </c>
      <c r="D550" s="1" t="s">
        <v>466</v>
      </c>
      <c r="E550" s="1" t="s">
        <v>52</v>
      </c>
      <c r="F550" s="1" t="s">
        <v>39</v>
      </c>
      <c r="G550" s="1" t="s">
        <v>97</v>
      </c>
      <c r="H550" s="1" t="s">
        <v>88</v>
      </c>
      <c r="I550" s="1" t="s">
        <v>53</v>
      </c>
      <c r="J550" s="1">
        <v>6.1</v>
      </c>
      <c r="K550" s="1" t="s">
        <v>1408</v>
      </c>
      <c r="L550" s="1" t="s">
        <v>114</v>
      </c>
      <c r="M550" s="1" t="s">
        <v>129</v>
      </c>
      <c r="N550" s="1" t="s">
        <v>116</v>
      </c>
      <c r="O550" s="2">
        <v>45789</v>
      </c>
      <c r="P550" s="2">
        <v>45789</v>
      </c>
      <c r="Q550" s="1" t="b">
        <v>1</v>
      </c>
      <c r="R550" s="1">
        <v>4</v>
      </c>
      <c r="S550" s="1" t="b">
        <v>1</v>
      </c>
      <c r="T550" s="2">
        <v>45795</v>
      </c>
      <c r="U550" s="1" t="b">
        <v>1</v>
      </c>
      <c r="V550" s="2">
        <v>45798</v>
      </c>
      <c r="W550" s="1" t="b">
        <v>1</v>
      </c>
      <c r="X550" s="2">
        <v>45804</v>
      </c>
      <c r="Y550" s="1">
        <v>80</v>
      </c>
      <c r="Z550" s="1">
        <v>63</v>
      </c>
      <c r="AA550" s="1">
        <v>77</v>
      </c>
      <c r="AB550" s="1" t="b">
        <v>0</v>
      </c>
      <c r="AD550" s="1" t="b">
        <v>0</v>
      </c>
      <c r="AF550" s="1" t="s">
        <v>47</v>
      </c>
      <c r="AG550" s="1" t="s">
        <v>176</v>
      </c>
      <c r="AH550" s="1">
        <v>15</v>
      </c>
      <c r="AI550" s="1" t="s">
        <v>70</v>
      </c>
    </row>
    <row r="551" spans="1:35" ht="12.5" x14ac:dyDescent="0.25">
      <c r="A551" s="1">
        <v>547</v>
      </c>
      <c r="B551" s="1" t="s">
        <v>1466</v>
      </c>
      <c r="C551" s="1" t="s">
        <v>1467</v>
      </c>
      <c r="D551" s="1" t="s">
        <v>164</v>
      </c>
      <c r="E551" s="1" t="s">
        <v>102</v>
      </c>
      <c r="F551" s="1" t="s">
        <v>111</v>
      </c>
      <c r="G551" s="1" t="s">
        <v>40</v>
      </c>
      <c r="H551" s="1" t="s">
        <v>65</v>
      </c>
      <c r="I551" s="1" t="s">
        <v>82</v>
      </c>
      <c r="J551" s="1">
        <v>3.3</v>
      </c>
      <c r="K551" s="1" t="s">
        <v>257</v>
      </c>
      <c r="L551" s="1" t="s">
        <v>67</v>
      </c>
      <c r="M551" s="1" t="s">
        <v>129</v>
      </c>
      <c r="N551" s="1" t="s">
        <v>116</v>
      </c>
      <c r="O551" s="2">
        <v>45699</v>
      </c>
      <c r="P551" s="2">
        <v>45700</v>
      </c>
      <c r="Q551" s="1" t="b">
        <v>0</v>
      </c>
      <c r="S551" s="1" t="b">
        <v>0</v>
      </c>
      <c r="U551" s="1" t="b">
        <v>0</v>
      </c>
      <c r="W551" s="1" t="b">
        <v>0</v>
      </c>
      <c r="Y551" s="1">
        <v>77</v>
      </c>
      <c r="Z551" s="1">
        <v>55</v>
      </c>
      <c r="AA551" s="1">
        <v>68</v>
      </c>
      <c r="AB551" s="1" t="b">
        <v>0</v>
      </c>
      <c r="AD551" s="1" t="b">
        <v>0</v>
      </c>
      <c r="AF551" s="1" t="s">
        <v>77</v>
      </c>
      <c r="AG551" s="1" t="s">
        <v>69</v>
      </c>
      <c r="AH551" s="1">
        <v>1</v>
      </c>
      <c r="AI551" s="1" t="s">
        <v>135</v>
      </c>
    </row>
    <row r="552" spans="1:35" ht="12.5" hidden="1" x14ac:dyDescent="0.25">
      <c r="A552" s="1">
        <v>548</v>
      </c>
      <c r="B552" s="1" t="s">
        <v>1468</v>
      </c>
      <c r="C552" s="1" t="s">
        <v>1469</v>
      </c>
      <c r="D552" s="1" t="s">
        <v>466</v>
      </c>
      <c r="E552" s="1" t="s">
        <v>62</v>
      </c>
      <c r="F552" s="1" t="s">
        <v>63</v>
      </c>
      <c r="G552" s="1" t="s">
        <v>40</v>
      </c>
      <c r="H552" s="1" t="s">
        <v>41</v>
      </c>
      <c r="I552" s="1" t="s">
        <v>42</v>
      </c>
      <c r="J552" s="1">
        <v>8.6999999999999993</v>
      </c>
      <c r="K552" s="1" t="s">
        <v>1157</v>
      </c>
      <c r="L552" s="1" t="s">
        <v>67</v>
      </c>
      <c r="M552" s="1" t="s">
        <v>123</v>
      </c>
      <c r="N552" s="1" t="s">
        <v>84</v>
      </c>
      <c r="O552" s="2">
        <v>45772</v>
      </c>
      <c r="P552" s="2">
        <v>45772</v>
      </c>
      <c r="Q552" s="1" t="b">
        <v>1</v>
      </c>
      <c r="R552" s="1">
        <v>0</v>
      </c>
      <c r="S552" s="1" t="b">
        <v>1</v>
      </c>
      <c r="T552" s="2">
        <v>45775</v>
      </c>
      <c r="U552" s="1" t="b">
        <v>1</v>
      </c>
      <c r="V552" s="2">
        <v>45789</v>
      </c>
      <c r="W552" s="1" t="b">
        <v>0</v>
      </c>
      <c r="Y552" s="1">
        <v>71</v>
      </c>
      <c r="Z552" s="1">
        <v>68</v>
      </c>
      <c r="AA552" s="1">
        <v>60</v>
      </c>
      <c r="AB552" s="1" t="b">
        <v>0</v>
      </c>
      <c r="AD552" s="1" t="b">
        <v>0</v>
      </c>
      <c r="AF552" s="1" t="s">
        <v>105</v>
      </c>
      <c r="AH552" s="1">
        <v>17</v>
      </c>
      <c r="AI552" s="1" t="s">
        <v>118</v>
      </c>
    </row>
    <row r="553" spans="1:35" ht="12.5" x14ac:dyDescent="0.25">
      <c r="A553" s="1">
        <v>549</v>
      </c>
      <c r="B553" s="1" t="s">
        <v>1470</v>
      </c>
      <c r="C553" s="1" t="s">
        <v>1471</v>
      </c>
      <c r="D553" s="1" t="s">
        <v>191</v>
      </c>
      <c r="E553" s="1" t="s">
        <v>38</v>
      </c>
      <c r="F553" s="1" t="s">
        <v>74</v>
      </c>
      <c r="G553" s="1" t="s">
        <v>64</v>
      </c>
      <c r="H553" s="1" t="s">
        <v>65</v>
      </c>
      <c r="I553" s="1" t="s">
        <v>82</v>
      </c>
      <c r="J553" s="1">
        <v>2.6</v>
      </c>
      <c r="K553" s="1" t="s">
        <v>554</v>
      </c>
      <c r="L553" s="1" t="s">
        <v>67</v>
      </c>
      <c r="M553" s="1" t="s">
        <v>123</v>
      </c>
      <c r="N553" s="1" t="s">
        <v>116</v>
      </c>
      <c r="O553" s="2">
        <v>45741</v>
      </c>
      <c r="P553" s="2">
        <v>45743</v>
      </c>
      <c r="Q553" s="1" t="b">
        <v>0</v>
      </c>
      <c r="S553" s="1" t="b">
        <v>0</v>
      </c>
      <c r="U553" s="1" t="b">
        <v>0</v>
      </c>
      <c r="W553" s="1" t="b">
        <v>0</v>
      </c>
      <c r="Y553" s="1">
        <v>81</v>
      </c>
      <c r="Z553" s="1">
        <v>53</v>
      </c>
      <c r="AA553" s="1">
        <v>53</v>
      </c>
      <c r="AB553" s="1" t="b">
        <v>0</v>
      </c>
      <c r="AD553" s="1" t="b">
        <v>0</v>
      </c>
      <c r="AF553" s="1" t="s">
        <v>77</v>
      </c>
      <c r="AG553" s="1" t="s">
        <v>69</v>
      </c>
      <c r="AH553" s="1">
        <v>2</v>
      </c>
      <c r="AI553" s="1" t="s">
        <v>78</v>
      </c>
    </row>
    <row r="554" spans="1:35" ht="12.5" hidden="1" x14ac:dyDescent="0.25">
      <c r="A554" s="1">
        <v>550</v>
      </c>
      <c r="B554" s="1" t="s">
        <v>1472</v>
      </c>
      <c r="C554" s="1" t="s">
        <v>1473</v>
      </c>
      <c r="D554" s="1" t="s">
        <v>301</v>
      </c>
      <c r="E554" s="1" t="s">
        <v>62</v>
      </c>
      <c r="F554" s="1" t="s">
        <v>39</v>
      </c>
      <c r="G554" s="1" t="s">
        <v>64</v>
      </c>
      <c r="H554" s="1" t="s">
        <v>88</v>
      </c>
      <c r="I554" s="1" t="s">
        <v>42</v>
      </c>
      <c r="J554" s="1">
        <v>6.1</v>
      </c>
      <c r="K554" s="1" t="s">
        <v>168</v>
      </c>
      <c r="L554" s="1" t="s">
        <v>141</v>
      </c>
      <c r="M554" s="1" t="s">
        <v>56</v>
      </c>
      <c r="N554" s="1" t="s">
        <v>84</v>
      </c>
      <c r="O554" s="2">
        <v>45707</v>
      </c>
      <c r="P554" s="2">
        <v>45712</v>
      </c>
      <c r="Q554" s="1" t="b">
        <v>1</v>
      </c>
      <c r="R554" s="1">
        <v>2</v>
      </c>
      <c r="S554" s="1" t="b">
        <v>1</v>
      </c>
      <c r="T554" s="2">
        <v>45719</v>
      </c>
      <c r="U554" s="1" t="b">
        <v>0</v>
      </c>
      <c r="W554" s="1" t="b">
        <v>0</v>
      </c>
      <c r="Y554" s="1">
        <v>68</v>
      </c>
      <c r="Z554" s="1">
        <v>79</v>
      </c>
      <c r="AA554" s="1">
        <v>79</v>
      </c>
      <c r="AB554" s="1" t="b">
        <v>0</v>
      </c>
      <c r="AD554" s="1" t="b">
        <v>0</v>
      </c>
      <c r="AF554" s="1" t="s">
        <v>151</v>
      </c>
      <c r="AG554" s="1" t="s">
        <v>117</v>
      </c>
      <c r="AH554" s="1">
        <v>12</v>
      </c>
      <c r="AI554" s="1" t="s">
        <v>165</v>
      </c>
    </row>
    <row r="555" spans="1:35" ht="12.5" hidden="1" x14ac:dyDescent="0.25">
      <c r="A555" s="1">
        <v>551</v>
      </c>
      <c r="B555" s="1" t="s">
        <v>1474</v>
      </c>
      <c r="C555" s="1" t="s">
        <v>1475</v>
      </c>
      <c r="D555" s="1" t="s">
        <v>301</v>
      </c>
      <c r="E555" s="1" t="s">
        <v>102</v>
      </c>
      <c r="F555" s="1" t="s">
        <v>111</v>
      </c>
      <c r="G555" s="1" t="s">
        <v>40</v>
      </c>
      <c r="H555" s="1" t="s">
        <v>88</v>
      </c>
      <c r="I555" s="1" t="s">
        <v>103</v>
      </c>
      <c r="J555" s="1">
        <v>11.4</v>
      </c>
      <c r="K555" s="1" t="s">
        <v>66</v>
      </c>
      <c r="L555" s="1" t="s">
        <v>141</v>
      </c>
      <c r="M555" s="1" t="s">
        <v>115</v>
      </c>
      <c r="N555" s="1" t="s">
        <v>46</v>
      </c>
      <c r="O555" s="2">
        <v>45689</v>
      </c>
      <c r="P555" s="2">
        <v>45693</v>
      </c>
      <c r="Q555" s="1" t="b">
        <v>1</v>
      </c>
      <c r="R555" s="1">
        <v>5</v>
      </c>
      <c r="S555" s="1" t="b">
        <v>0</v>
      </c>
      <c r="U555" s="1" t="b">
        <v>0</v>
      </c>
      <c r="W555" s="1" t="b">
        <v>0</v>
      </c>
      <c r="Y555" s="1">
        <v>90</v>
      </c>
      <c r="Z555" s="1">
        <v>71</v>
      </c>
      <c r="AA555" s="1">
        <v>75</v>
      </c>
      <c r="AB555" s="1" t="b">
        <v>0</v>
      </c>
      <c r="AD555" s="1" t="b">
        <v>0</v>
      </c>
      <c r="AF555" s="1" t="s">
        <v>57</v>
      </c>
      <c r="AH555" s="1">
        <v>4</v>
      </c>
      <c r="AI555" s="1" t="s">
        <v>78</v>
      </c>
    </row>
    <row r="556" spans="1:35" ht="12.5" hidden="1" x14ac:dyDescent="0.25">
      <c r="A556" s="1">
        <v>552</v>
      </c>
      <c r="B556" s="1" t="s">
        <v>1476</v>
      </c>
      <c r="C556" s="1" t="s">
        <v>1477</v>
      </c>
      <c r="D556" s="1" t="s">
        <v>282</v>
      </c>
      <c r="E556" s="1" t="s">
        <v>62</v>
      </c>
      <c r="F556" s="1" t="s">
        <v>63</v>
      </c>
      <c r="G556" s="1" t="s">
        <v>97</v>
      </c>
      <c r="H556" s="1" t="s">
        <v>41</v>
      </c>
      <c r="I556" s="1" t="s">
        <v>42</v>
      </c>
      <c r="J556" s="1">
        <v>9.8000000000000007</v>
      </c>
      <c r="K556" s="1" t="s">
        <v>140</v>
      </c>
      <c r="L556" s="1" t="s">
        <v>114</v>
      </c>
      <c r="M556" s="1" t="s">
        <v>56</v>
      </c>
      <c r="N556" s="1" t="s">
        <v>46</v>
      </c>
      <c r="O556" s="2">
        <v>45785</v>
      </c>
      <c r="P556" s="2">
        <v>45785</v>
      </c>
      <c r="Q556" s="1" t="b">
        <v>1</v>
      </c>
      <c r="R556" s="1">
        <v>12</v>
      </c>
      <c r="S556" s="1" t="b">
        <v>1</v>
      </c>
      <c r="T556" s="2">
        <v>45788</v>
      </c>
      <c r="U556" s="1" t="b">
        <v>1</v>
      </c>
      <c r="V556" s="2">
        <v>45801</v>
      </c>
      <c r="W556" s="1" t="b">
        <v>1</v>
      </c>
      <c r="X556" s="2">
        <v>45803</v>
      </c>
      <c r="Y556" s="1">
        <v>70</v>
      </c>
      <c r="Z556" s="1">
        <v>72</v>
      </c>
      <c r="AA556" s="1">
        <v>73</v>
      </c>
      <c r="AB556" s="1" t="b">
        <v>0</v>
      </c>
      <c r="AD556" s="1" t="b">
        <v>0</v>
      </c>
      <c r="AF556" s="1" t="s">
        <v>47</v>
      </c>
      <c r="AG556" s="1" t="s">
        <v>152</v>
      </c>
      <c r="AH556" s="1">
        <v>18</v>
      </c>
      <c r="AI556" s="1" t="s">
        <v>215</v>
      </c>
    </row>
    <row r="557" spans="1:35" ht="12.5" x14ac:dyDescent="0.25">
      <c r="A557" s="1">
        <v>553</v>
      </c>
      <c r="B557" s="1" t="s">
        <v>1478</v>
      </c>
      <c r="C557" s="1" t="s">
        <v>1479</v>
      </c>
      <c r="D557" s="1" t="s">
        <v>564</v>
      </c>
      <c r="E557" s="1" t="s">
        <v>102</v>
      </c>
      <c r="F557" s="1" t="s">
        <v>111</v>
      </c>
      <c r="G557" s="1" t="s">
        <v>40</v>
      </c>
      <c r="H557" s="1" t="s">
        <v>88</v>
      </c>
      <c r="I557" s="1" t="s">
        <v>103</v>
      </c>
      <c r="J557" s="1">
        <v>11.2</v>
      </c>
      <c r="K557" s="1" t="s">
        <v>584</v>
      </c>
      <c r="L557" s="1" t="s">
        <v>44</v>
      </c>
      <c r="M557" s="1" t="s">
        <v>56</v>
      </c>
      <c r="N557" s="1" t="s">
        <v>116</v>
      </c>
      <c r="O557" s="2">
        <v>45802</v>
      </c>
      <c r="P557" s="2">
        <v>45802</v>
      </c>
      <c r="Q557" s="1" t="b">
        <v>0</v>
      </c>
      <c r="S557" s="1" t="b">
        <v>0</v>
      </c>
      <c r="U557" s="1" t="b">
        <v>0</v>
      </c>
      <c r="W557" s="1" t="b">
        <v>0</v>
      </c>
      <c r="Y557" s="1">
        <v>85</v>
      </c>
      <c r="Z557" s="1">
        <v>76</v>
      </c>
      <c r="AA557" s="1">
        <v>69</v>
      </c>
      <c r="AB557" s="1" t="b">
        <v>0</v>
      </c>
      <c r="AD557" s="1" t="b">
        <v>0</v>
      </c>
      <c r="AF557" s="1" t="s">
        <v>77</v>
      </c>
      <c r="AG557" s="1" t="s">
        <v>69</v>
      </c>
      <c r="AH557" s="1">
        <v>0</v>
      </c>
      <c r="AI557" s="1" t="s">
        <v>58</v>
      </c>
    </row>
    <row r="558" spans="1:35" ht="12.5" hidden="1" x14ac:dyDescent="0.25">
      <c r="A558" s="1">
        <v>554</v>
      </c>
      <c r="B558" s="1" t="s">
        <v>1480</v>
      </c>
      <c r="C558" s="1" t="s">
        <v>1481</v>
      </c>
      <c r="D558" s="1" t="s">
        <v>497</v>
      </c>
      <c r="E558" s="1" t="s">
        <v>62</v>
      </c>
      <c r="F558" s="1" t="s">
        <v>63</v>
      </c>
      <c r="G558" s="1" t="s">
        <v>97</v>
      </c>
      <c r="H558" s="1" t="s">
        <v>65</v>
      </c>
      <c r="I558" s="1" t="s">
        <v>42</v>
      </c>
      <c r="J558" s="1">
        <v>5.9</v>
      </c>
      <c r="K558" s="1" t="s">
        <v>242</v>
      </c>
      <c r="L558" s="1" t="s">
        <v>90</v>
      </c>
      <c r="M558" s="1" t="s">
        <v>129</v>
      </c>
      <c r="N558" s="1" t="s">
        <v>92</v>
      </c>
      <c r="O558" s="2">
        <v>45697</v>
      </c>
      <c r="P558" s="2">
        <v>45697</v>
      </c>
      <c r="Q558" s="1" t="b">
        <v>1</v>
      </c>
      <c r="R558" s="1">
        <v>12</v>
      </c>
      <c r="S558" s="1" t="b">
        <v>1</v>
      </c>
      <c r="T558" s="2">
        <v>45703</v>
      </c>
      <c r="U558" s="1" t="b">
        <v>1</v>
      </c>
      <c r="V558" s="2">
        <v>45717</v>
      </c>
      <c r="W558" s="1" t="b">
        <v>1</v>
      </c>
      <c r="X558" s="2">
        <v>45727</v>
      </c>
      <c r="Y558" s="1">
        <v>82</v>
      </c>
      <c r="Z558" s="1">
        <v>78</v>
      </c>
      <c r="AA558" s="1">
        <v>87</v>
      </c>
      <c r="AB558" s="1" t="b">
        <v>1</v>
      </c>
      <c r="AC558" s="2">
        <v>45731</v>
      </c>
      <c r="AD558" s="1" t="b">
        <v>1</v>
      </c>
      <c r="AE558" s="2">
        <v>45732</v>
      </c>
      <c r="AF558" s="1" t="s">
        <v>134</v>
      </c>
      <c r="AH558" s="1">
        <v>35</v>
      </c>
      <c r="AI558" s="1" t="s">
        <v>78</v>
      </c>
    </row>
    <row r="559" spans="1:35" ht="12.5" hidden="1" x14ac:dyDescent="0.25">
      <c r="A559" s="1">
        <v>555</v>
      </c>
      <c r="B559" s="1" t="s">
        <v>450</v>
      </c>
      <c r="C559" s="1" t="s">
        <v>1482</v>
      </c>
      <c r="D559" s="1" t="s">
        <v>1019</v>
      </c>
      <c r="E559" s="1" t="s">
        <v>52</v>
      </c>
      <c r="F559" s="1" t="s">
        <v>63</v>
      </c>
      <c r="G559" s="1" t="s">
        <v>64</v>
      </c>
      <c r="H559" s="1" t="s">
        <v>65</v>
      </c>
      <c r="I559" s="1" t="s">
        <v>42</v>
      </c>
      <c r="J559" s="1">
        <v>8.6999999999999993</v>
      </c>
      <c r="K559" s="1" t="s">
        <v>976</v>
      </c>
      <c r="L559" s="1" t="s">
        <v>114</v>
      </c>
      <c r="M559" s="1" t="s">
        <v>146</v>
      </c>
      <c r="N559" s="1" t="s">
        <v>116</v>
      </c>
      <c r="O559" s="2">
        <v>45660</v>
      </c>
      <c r="P559" s="2">
        <v>45661</v>
      </c>
      <c r="Q559" s="1" t="b">
        <v>1</v>
      </c>
      <c r="R559" s="1">
        <v>3</v>
      </c>
      <c r="S559" s="1" t="b">
        <v>0</v>
      </c>
      <c r="U559" s="1" t="b">
        <v>0</v>
      </c>
      <c r="W559" s="1" t="b">
        <v>0</v>
      </c>
      <c r="Y559" s="1">
        <v>77</v>
      </c>
      <c r="Z559" s="1">
        <v>53</v>
      </c>
      <c r="AA559" s="1">
        <v>55</v>
      </c>
      <c r="AB559" s="1" t="b">
        <v>0</v>
      </c>
      <c r="AD559" s="1" t="b">
        <v>0</v>
      </c>
      <c r="AF559" s="1" t="s">
        <v>57</v>
      </c>
      <c r="AH559" s="1">
        <v>1</v>
      </c>
      <c r="AI559" s="1" t="s">
        <v>58</v>
      </c>
    </row>
    <row r="560" spans="1:35" ht="12.5" hidden="1" x14ac:dyDescent="0.25">
      <c r="A560" s="1">
        <v>556</v>
      </c>
      <c r="B560" s="1" t="s">
        <v>649</v>
      </c>
      <c r="C560" s="1" t="s">
        <v>1483</v>
      </c>
      <c r="D560" s="1" t="s">
        <v>613</v>
      </c>
      <c r="E560" s="1" t="s">
        <v>62</v>
      </c>
      <c r="F560" s="1" t="s">
        <v>74</v>
      </c>
      <c r="G560" s="1" t="s">
        <v>139</v>
      </c>
      <c r="H560" s="1" t="s">
        <v>88</v>
      </c>
      <c r="I560" s="1" t="s">
        <v>53</v>
      </c>
      <c r="J560" s="1">
        <v>4.4000000000000004</v>
      </c>
      <c r="K560" s="1" t="s">
        <v>561</v>
      </c>
      <c r="L560" s="1" t="s">
        <v>114</v>
      </c>
      <c r="M560" s="1" t="s">
        <v>146</v>
      </c>
      <c r="N560" s="1" t="s">
        <v>46</v>
      </c>
      <c r="O560" s="2">
        <v>45783</v>
      </c>
      <c r="P560" s="2">
        <v>45786</v>
      </c>
      <c r="Q560" s="1" t="b">
        <v>1</v>
      </c>
      <c r="R560" s="1">
        <v>10</v>
      </c>
      <c r="S560" s="1" t="b">
        <v>1</v>
      </c>
      <c r="T560" s="2">
        <v>45791</v>
      </c>
      <c r="U560" s="1" t="b">
        <v>0</v>
      </c>
      <c r="W560" s="1" t="b">
        <v>0</v>
      </c>
      <c r="Y560" s="1">
        <v>78</v>
      </c>
      <c r="Z560" s="1">
        <v>62</v>
      </c>
      <c r="AA560" s="1">
        <v>71</v>
      </c>
      <c r="AB560" s="1" t="b">
        <v>0</v>
      </c>
      <c r="AD560" s="1" t="b">
        <v>0</v>
      </c>
      <c r="AF560" s="1" t="s">
        <v>151</v>
      </c>
      <c r="AH560" s="1">
        <v>8</v>
      </c>
      <c r="AI560" s="1" t="s">
        <v>118</v>
      </c>
    </row>
    <row r="561" spans="1:35" ht="12.5" hidden="1" x14ac:dyDescent="0.25">
      <c r="A561" s="1">
        <v>557</v>
      </c>
      <c r="B561" s="1" t="s">
        <v>1484</v>
      </c>
      <c r="C561" s="1" t="s">
        <v>1485</v>
      </c>
      <c r="D561" s="1" t="s">
        <v>418</v>
      </c>
      <c r="E561" s="1" t="s">
        <v>102</v>
      </c>
      <c r="F561" s="1" t="s">
        <v>63</v>
      </c>
      <c r="G561" s="1" t="s">
        <v>97</v>
      </c>
      <c r="H561" s="1" t="s">
        <v>41</v>
      </c>
      <c r="I561" s="1" t="s">
        <v>42</v>
      </c>
      <c r="J561" s="1">
        <v>7.9</v>
      </c>
      <c r="K561" s="1" t="s">
        <v>188</v>
      </c>
      <c r="L561" s="1" t="s">
        <v>114</v>
      </c>
      <c r="M561" s="1" t="s">
        <v>68</v>
      </c>
      <c r="N561" s="1" t="s">
        <v>46</v>
      </c>
      <c r="O561" s="2">
        <v>45782</v>
      </c>
      <c r="P561" s="2">
        <v>45786</v>
      </c>
      <c r="Q561" s="1" t="b">
        <v>1</v>
      </c>
      <c r="R561" s="1">
        <v>5</v>
      </c>
      <c r="S561" s="1" t="b">
        <v>1</v>
      </c>
      <c r="T561" s="2">
        <v>45796</v>
      </c>
      <c r="U561" s="1" t="b">
        <v>1</v>
      </c>
      <c r="V561" s="2">
        <v>45810</v>
      </c>
      <c r="W561" s="1" t="b">
        <v>1</v>
      </c>
      <c r="X561" s="2">
        <v>45811</v>
      </c>
      <c r="Y561" s="1">
        <v>93</v>
      </c>
      <c r="Z561" s="1">
        <v>61</v>
      </c>
      <c r="AA561" s="1">
        <v>81</v>
      </c>
      <c r="AB561" s="1" t="b">
        <v>0</v>
      </c>
      <c r="AD561" s="1" t="b">
        <v>0</v>
      </c>
      <c r="AF561" s="1" t="s">
        <v>47</v>
      </c>
      <c r="AG561" s="1" t="s">
        <v>234</v>
      </c>
      <c r="AH561" s="1">
        <v>29</v>
      </c>
      <c r="AI561" s="1" t="s">
        <v>58</v>
      </c>
    </row>
    <row r="562" spans="1:35" ht="12.5" x14ac:dyDescent="0.25">
      <c r="A562" s="1">
        <v>558</v>
      </c>
      <c r="B562" s="1" t="s">
        <v>1486</v>
      </c>
      <c r="C562" s="1" t="s">
        <v>1487</v>
      </c>
      <c r="D562" s="1" t="s">
        <v>344</v>
      </c>
      <c r="E562" s="1" t="s">
        <v>102</v>
      </c>
      <c r="F562" s="1" t="s">
        <v>74</v>
      </c>
      <c r="G562" s="1" t="s">
        <v>40</v>
      </c>
      <c r="H562" s="1" t="s">
        <v>88</v>
      </c>
      <c r="I562" s="1" t="s">
        <v>53</v>
      </c>
      <c r="J562" s="1">
        <v>6.2</v>
      </c>
      <c r="K562" s="1" t="s">
        <v>577</v>
      </c>
      <c r="L562" s="1" t="s">
        <v>67</v>
      </c>
      <c r="M562" s="1" t="s">
        <v>68</v>
      </c>
      <c r="N562" s="1" t="s">
        <v>46</v>
      </c>
      <c r="O562" s="2">
        <v>45730</v>
      </c>
      <c r="P562" s="2">
        <v>45730</v>
      </c>
      <c r="Q562" s="1" t="b">
        <v>0</v>
      </c>
      <c r="S562" s="1" t="b">
        <v>0</v>
      </c>
      <c r="U562" s="1" t="b">
        <v>0</v>
      </c>
      <c r="W562" s="1" t="b">
        <v>0</v>
      </c>
      <c r="Y562" s="1">
        <v>69</v>
      </c>
      <c r="Z562" s="1">
        <v>74</v>
      </c>
      <c r="AA562" s="1">
        <v>71</v>
      </c>
      <c r="AB562" s="1" t="b">
        <v>0</v>
      </c>
      <c r="AD562" s="1" t="b">
        <v>0</v>
      </c>
      <c r="AF562" s="1" t="s">
        <v>77</v>
      </c>
      <c r="AG562" s="1" t="s">
        <v>69</v>
      </c>
      <c r="AH562" s="1">
        <v>0</v>
      </c>
      <c r="AI562" s="1" t="s">
        <v>70</v>
      </c>
    </row>
    <row r="563" spans="1:35" ht="12.5" hidden="1" x14ac:dyDescent="0.25">
      <c r="A563" s="1">
        <v>559</v>
      </c>
      <c r="B563" s="1" t="s">
        <v>1488</v>
      </c>
      <c r="C563" s="1" t="s">
        <v>1489</v>
      </c>
      <c r="D563" s="1" t="s">
        <v>664</v>
      </c>
      <c r="E563" s="1" t="s">
        <v>62</v>
      </c>
      <c r="F563" s="1" t="s">
        <v>63</v>
      </c>
      <c r="G563" s="1" t="s">
        <v>75</v>
      </c>
      <c r="H563" s="1" t="s">
        <v>41</v>
      </c>
      <c r="I563" s="1" t="s">
        <v>103</v>
      </c>
      <c r="J563" s="1">
        <v>9.3000000000000007</v>
      </c>
      <c r="K563" s="1" t="s">
        <v>788</v>
      </c>
      <c r="L563" s="1" t="s">
        <v>90</v>
      </c>
      <c r="M563" s="1" t="s">
        <v>129</v>
      </c>
      <c r="N563" s="1" t="s">
        <v>116</v>
      </c>
      <c r="O563" s="2">
        <v>45709</v>
      </c>
      <c r="P563" s="2">
        <v>45710</v>
      </c>
      <c r="Q563" s="1" t="b">
        <v>1</v>
      </c>
      <c r="R563" s="1">
        <v>10</v>
      </c>
      <c r="S563" s="1" t="b">
        <v>0</v>
      </c>
      <c r="U563" s="1" t="b">
        <v>0</v>
      </c>
      <c r="W563" s="1" t="b">
        <v>0</v>
      </c>
      <c r="Y563" s="1">
        <v>95</v>
      </c>
      <c r="Z563" s="1">
        <v>76</v>
      </c>
      <c r="AA563" s="1">
        <v>77</v>
      </c>
      <c r="AB563" s="1" t="b">
        <v>0</v>
      </c>
      <c r="AD563" s="1" t="b">
        <v>0</v>
      </c>
      <c r="AF563" s="1" t="s">
        <v>57</v>
      </c>
      <c r="AH563" s="1">
        <v>1</v>
      </c>
      <c r="AI563" s="1" t="s">
        <v>48</v>
      </c>
    </row>
    <row r="564" spans="1:35" ht="12.5" x14ac:dyDescent="0.25">
      <c r="A564" s="1">
        <v>560</v>
      </c>
      <c r="B564" s="1" t="s">
        <v>1490</v>
      </c>
      <c r="C564" s="1" t="s">
        <v>1491</v>
      </c>
      <c r="D564" s="1" t="s">
        <v>638</v>
      </c>
      <c r="E564" s="1" t="s">
        <v>38</v>
      </c>
      <c r="F564" s="1" t="s">
        <v>39</v>
      </c>
      <c r="G564" s="1" t="s">
        <v>97</v>
      </c>
      <c r="H564" s="1" t="s">
        <v>88</v>
      </c>
      <c r="I564" s="1" t="s">
        <v>53</v>
      </c>
      <c r="J564" s="1">
        <v>4.0999999999999996</v>
      </c>
      <c r="K564" s="1" t="s">
        <v>715</v>
      </c>
      <c r="L564" s="1" t="s">
        <v>67</v>
      </c>
      <c r="M564" s="1" t="s">
        <v>45</v>
      </c>
      <c r="N564" s="1" t="s">
        <v>84</v>
      </c>
      <c r="O564" s="2">
        <v>45677</v>
      </c>
      <c r="P564" s="2">
        <v>45680</v>
      </c>
      <c r="Q564" s="1" t="b">
        <v>0</v>
      </c>
      <c r="S564" s="1" t="b">
        <v>0</v>
      </c>
      <c r="U564" s="1" t="b">
        <v>0</v>
      </c>
      <c r="W564" s="1" t="b">
        <v>0</v>
      </c>
      <c r="Y564" s="1">
        <v>80</v>
      </c>
      <c r="Z564" s="1">
        <v>62</v>
      </c>
      <c r="AA564" s="1">
        <v>73</v>
      </c>
      <c r="AB564" s="1" t="b">
        <v>0</v>
      </c>
      <c r="AD564" s="1" t="b">
        <v>0</v>
      </c>
      <c r="AF564" s="1" t="s">
        <v>77</v>
      </c>
      <c r="AG564" s="1" t="s">
        <v>69</v>
      </c>
      <c r="AH564" s="1">
        <v>3</v>
      </c>
      <c r="AI564" s="1" t="s">
        <v>78</v>
      </c>
    </row>
    <row r="565" spans="1:35" ht="12.5" hidden="1" x14ac:dyDescent="0.25">
      <c r="A565" s="1">
        <v>561</v>
      </c>
      <c r="B565" s="1" t="s">
        <v>1492</v>
      </c>
      <c r="C565" s="1" t="s">
        <v>1493</v>
      </c>
      <c r="D565" s="1" t="s">
        <v>160</v>
      </c>
      <c r="E565" s="1" t="s">
        <v>38</v>
      </c>
      <c r="F565" s="1" t="s">
        <v>111</v>
      </c>
      <c r="G565" s="1" t="s">
        <v>40</v>
      </c>
      <c r="H565" s="1" t="s">
        <v>41</v>
      </c>
      <c r="I565" s="1" t="s">
        <v>82</v>
      </c>
      <c r="J565" s="1">
        <v>2.7</v>
      </c>
      <c r="K565" s="1" t="s">
        <v>214</v>
      </c>
      <c r="L565" s="1" t="s">
        <v>67</v>
      </c>
      <c r="M565" s="1" t="s">
        <v>115</v>
      </c>
      <c r="N565" s="1" t="s">
        <v>116</v>
      </c>
      <c r="O565" s="2">
        <v>45680</v>
      </c>
      <c r="P565" s="2">
        <v>45685</v>
      </c>
      <c r="Q565" s="1" t="b">
        <v>1</v>
      </c>
      <c r="R565" s="1">
        <v>1</v>
      </c>
      <c r="S565" s="1" t="b">
        <v>0</v>
      </c>
      <c r="U565" s="1" t="b">
        <v>0</v>
      </c>
      <c r="W565" s="1" t="b">
        <v>0</v>
      </c>
      <c r="Y565" s="1">
        <v>59</v>
      </c>
      <c r="Z565" s="1">
        <v>64</v>
      </c>
      <c r="AA565" s="1">
        <v>57</v>
      </c>
      <c r="AB565" s="1" t="b">
        <v>0</v>
      </c>
      <c r="AD565" s="1" t="b">
        <v>0</v>
      </c>
      <c r="AF565" s="1" t="s">
        <v>57</v>
      </c>
      <c r="AH565" s="1">
        <v>5</v>
      </c>
      <c r="AI565" s="1" t="s">
        <v>118</v>
      </c>
    </row>
    <row r="566" spans="1:35" ht="12.5" x14ac:dyDescent="0.25">
      <c r="A566" s="1">
        <v>562</v>
      </c>
      <c r="B566" s="1" t="s">
        <v>1494</v>
      </c>
      <c r="C566" s="1" t="s">
        <v>1495</v>
      </c>
      <c r="D566" s="1" t="s">
        <v>205</v>
      </c>
      <c r="E566" s="1" t="s">
        <v>38</v>
      </c>
      <c r="F566" s="1" t="s">
        <v>74</v>
      </c>
      <c r="G566" s="1" t="s">
        <v>97</v>
      </c>
      <c r="H566" s="1" t="s">
        <v>65</v>
      </c>
      <c r="I566" s="1" t="s">
        <v>82</v>
      </c>
      <c r="J566" s="1">
        <v>2.1</v>
      </c>
      <c r="K566" s="1" t="s">
        <v>294</v>
      </c>
      <c r="L566" s="1" t="s">
        <v>114</v>
      </c>
      <c r="M566" s="1" t="s">
        <v>68</v>
      </c>
      <c r="N566" s="1" t="s">
        <v>116</v>
      </c>
      <c r="O566" s="2">
        <v>45761</v>
      </c>
      <c r="P566" s="2">
        <v>45765</v>
      </c>
      <c r="Q566" s="1" t="b">
        <v>0</v>
      </c>
      <c r="S566" s="1" t="b">
        <v>0</v>
      </c>
      <c r="U566" s="1" t="b">
        <v>0</v>
      </c>
      <c r="W566" s="1" t="b">
        <v>0</v>
      </c>
      <c r="Y566" s="1">
        <v>59</v>
      </c>
      <c r="Z566" s="1">
        <v>64</v>
      </c>
      <c r="AA566" s="1">
        <v>67</v>
      </c>
      <c r="AB566" s="1" t="b">
        <v>0</v>
      </c>
      <c r="AD566" s="1" t="b">
        <v>0</v>
      </c>
      <c r="AF566" s="1" t="s">
        <v>77</v>
      </c>
      <c r="AG566" s="1" t="s">
        <v>69</v>
      </c>
      <c r="AH566" s="1">
        <v>4</v>
      </c>
      <c r="AI566" s="1" t="s">
        <v>165</v>
      </c>
    </row>
    <row r="567" spans="1:35" ht="12.5" hidden="1" x14ac:dyDescent="0.25">
      <c r="A567" s="1">
        <v>563</v>
      </c>
      <c r="B567" s="1" t="s">
        <v>1496</v>
      </c>
      <c r="C567" s="1" t="s">
        <v>1497</v>
      </c>
      <c r="D567" s="1" t="s">
        <v>293</v>
      </c>
      <c r="E567" s="1" t="s">
        <v>62</v>
      </c>
      <c r="F567" s="1" t="s">
        <v>111</v>
      </c>
      <c r="G567" s="1" t="s">
        <v>75</v>
      </c>
      <c r="H567" s="1" t="s">
        <v>41</v>
      </c>
      <c r="I567" s="1" t="s">
        <v>42</v>
      </c>
      <c r="J567" s="1">
        <v>6.1</v>
      </c>
      <c r="K567" s="1" t="s">
        <v>791</v>
      </c>
      <c r="L567" s="1" t="s">
        <v>141</v>
      </c>
      <c r="M567" s="1" t="s">
        <v>115</v>
      </c>
      <c r="N567" s="1" t="s">
        <v>92</v>
      </c>
      <c r="O567" s="2">
        <v>45691</v>
      </c>
      <c r="P567" s="2">
        <v>45691</v>
      </c>
      <c r="Q567" s="1" t="b">
        <v>1</v>
      </c>
      <c r="R567" s="1">
        <v>2</v>
      </c>
      <c r="S567" s="1" t="b">
        <v>0</v>
      </c>
      <c r="U567" s="1" t="b">
        <v>0</v>
      </c>
      <c r="W567" s="1" t="b">
        <v>0</v>
      </c>
      <c r="Y567" s="1">
        <v>82</v>
      </c>
      <c r="Z567" s="1">
        <v>95</v>
      </c>
      <c r="AA567" s="1">
        <v>86</v>
      </c>
      <c r="AB567" s="1" t="b">
        <v>0</v>
      </c>
      <c r="AD567" s="1" t="b">
        <v>0</v>
      </c>
      <c r="AF567" s="1" t="s">
        <v>57</v>
      </c>
      <c r="AH567" s="1">
        <v>0</v>
      </c>
      <c r="AI567" s="1" t="s">
        <v>70</v>
      </c>
    </row>
    <row r="568" spans="1:35" ht="12.5" x14ac:dyDescent="0.25">
      <c r="A568" s="1">
        <v>564</v>
      </c>
      <c r="B568" s="1" t="s">
        <v>1498</v>
      </c>
      <c r="C568" s="1" t="s">
        <v>1499</v>
      </c>
      <c r="D568" s="1" t="s">
        <v>121</v>
      </c>
      <c r="E568" s="1" t="s">
        <v>38</v>
      </c>
      <c r="F568" s="1" t="s">
        <v>39</v>
      </c>
      <c r="G568" s="1" t="s">
        <v>112</v>
      </c>
      <c r="H568" s="1" t="s">
        <v>41</v>
      </c>
      <c r="I568" s="1" t="s">
        <v>82</v>
      </c>
      <c r="J568" s="1">
        <v>2</v>
      </c>
      <c r="K568" s="1" t="s">
        <v>715</v>
      </c>
      <c r="L568" s="1" t="s">
        <v>90</v>
      </c>
      <c r="M568" s="1" t="s">
        <v>56</v>
      </c>
      <c r="N568" s="1" t="s">
        <v>116</v>
      </c>
      <c r="O568" s="2">
        <v>45701</v>
      </c>
      <c r="P568" s="2">
        <v>45703</v>
      </c>
      <c r="Q568" s="1" t="b">
        <v>0</v>
      </c>
      <c r="S568" s="1" t="b">
        <v>0</v>
      </c>
      <c r="U568" s="1" t="b">
        <v>0</v>
      </c>
      <c r="W568" s="1" t="b">
        <v>0</v>
      </c>
      <c r="Y568" s="1">
        <v>94</v>
      </c>
      <c r="Z568" s="1">
        <v>77</v>
      </c>
      <c r="AA568" s="1">
        <v>100</v>
      </c>
      <c r="AB568" s="1" t="b">
        <v>0</v>
      </c>
      <c r="AD568" s="1" t="b">
        <v>0</v>
      </c>
      <c r="AF568" s="1" t="s">
        <v>77</v>
      </c>
      <c r="AG568" s="1" t="s">
        <v>69</v>
      </c>
      <c r="AH568" s="1">
        <v>2</v>
      </c>
      <c r="AI568" s="1" t="s">
        <v>165</v>
      </c>
    </row>
    <row r="569" spans="1:35" ht="12.5" hidden="1" x14ac:dyDescent="0.25">
      <c r="A569" s="1">
        <v>565</v>
      </c>
      <c r="B569" s="1" t="s">
        <v>1500</v>
      </c>
      <c r="C569" s="1" t="s">
        <v>1501</v>
      </c>
      <c r="D569" s="1" t="s">
        <v>393</v>
      </c>
      <c r="E569" s="1" t="s">
        <v>52</v>
      </c>
      <c r="F569" s="1" t="s">
        <v>39</v>
      </c>
      <c r="G569" s="1" t="s">
        <v>64</v>
      </c>
      <c r="H569" s="1" t="s">
        <v>65</v>
      </c>
      <c r="I569" s="1" t="s">
        <v>82</v>
      </c>
      <c r="J569" s="1">
        <v>6.4</v>
      </c>
      <c r="K569" s="1" t="s">
        <v>345</v>
      </c>
      <c r="L569" s="1" t="s">
        <v>114</v>
      </c>
      <c r="M569" s="1" t="s">
        <v>68</v>
      </c>
      <c r="N569" s="1" t="s">
        <v>46</v>
      </c>
      <c r="O569" s="2">
        <v>45761</v>
      </c>
      <c r="P569" s="2">
        <v>45761</v>
      </c>
      <c r="Q569" s="1" t="b">
        <v>1</v>
      </c>
      <c r="R569" s="1">
        <v>10</v>
      </c>
      <c r="S569" s="1" t="b">
        <v>1</v>
      </c>
      <c r="T569" s="2">
        <v>45765</v>
      </c>
      <c r="U569" s="1" t="b">
        <v>1</v>
      </c>
      <c r="V569" s="2">
        <v>45767</v>
      </c>
      <c r="W569" s="1" t="b">
        <v>1</v>
      </c>
      <c r="X569" s="2">
        <v>45775</v>
      </c>
      <c r="Y569" s="1">
        <v>81</v>
      </c>
      <c r="Z569" s="1">
        <v>72</v>
      </c>
      <c r="AA569" s="1">
        <v>77</v>
      </c>
      <c r="AB569" s="1" t="b">
        <v>0</v>
      </c>
      <c r="AD569" s="1" t="b">
        <v>0</v>
      </c>
      <c r="AF569" s="1" t="s">
        <v>47</v>
      </c>
      <c r="AH569" s="1">
        <v>14</v>
      </c>
      <c r="AI569" s="1" t="s">
        <v>93</v>
      </c>
    </row>
    <row r="570" spans="1:35" ht="12.5" x14ac:dyDescent="0.25">
      <c r="A570" s="1">
        <v>566</v>
      </c>
      <c r="B570" s="1" t="s">
        <v>1502</v>
      </c>
      <c r="C570" s="1" t="s">
        <v>1503</v>
      </c>
      <c r="D570" s="1" t="s">
        <v>714</v>
      </c>
      <c r="E570" s="1" t="s">
        <v>52</v>
      </c>
      <c r="F570" s="1" t="s">
        <v>111</v>
      </c>
      <c r="G570" s="1" t="s">
        <v>97</v>
      </c>
      <c r="H570" s="1" t="s">
        <v>65</v>
      </c>
      <c r="I570" s="1" t="s">
        <v>42</v>
      </c>
      <c r="J570" s="1">
        <v>6.9</v>
      </c>
      <c r="K570" s="1" t="s">
        <v>1171</v>
      </c>
      <c r="L570" s="1" t="s">
        <v>44</v>
      </c>
      <c r="M570" s="1" t="s">
        <v>146</v>
      </c>
      <c r="N570" s="1" t="s">
        <v>92</v>
      </c>
      <c r="O570" s="2">
        <v>45661</v>
      </c>
      <c r="P570" s="2">
        <v>45661</v>
      </c>
      <c r="Q570" s="1" t="b">
        <v>0</v>
      </c>
      <c r="S570" s="1" t="b">
        <v>0</v>
      </c>
      <c r="U570" s="1" t="b">
        <v>0</v>
      </c>
      <c r="W570" s="1" t="b">
        <v>0</v>
      </c>
      <c r="Y570" s="1">
        <v>68</v>
      </c>
      <c r="Z570" s="1">
        <v>79</v>
      </c>
      <c r="AA570" s="1">
        <v>84</v>
      </c>
      <c r="AB570" s="1" t="b">
        <v>0</v>
      </c>
      <c r="AD570" s="1" t="b">
        <v>0</v>
      </c>
      <c r="AF570" s="1" t="s">
        <v>77</v>
      </c>
      <c r="AG570" s="1" t="s">
        <v>69</v>
      </c>
      <c r="AH570" s="1">
        <v>0</v>
      </c>
      <c r="AI570" s="1" t="s">
        <v>58</v>
      </c>
    </row>
    <row r="571" spans="1:35" ht="12.5" hidden="1" x14ac:dyDescent="0.25">
      <c r="A571" s="1">
        <v>567</v>
      </c>
      <c r="B571" s="1" t="s">
        <v>1504</v>
      </c>
      <c r="C571" s="1" t="s">
        <v>1505</v>
      </c>
      <c r="D571" s="1" t="s">
        <v>245</v>
      </c>
      <c r="E571" s="1" t="s">
        <v>52</v>
      </c>
      <c r="F571" s="1" t="s">
        <v>74</v>
      </c>
      <c r="G571" s="1" t="s">
        <v>139</v>
      </c>
      <c r="H571" s="1" t="s">
        <v>41</v>
      </c>
      <c r="I571" s="1" t="s">
        <v>53</v>
      </c>
      <c r="J571" s="1">
        <v>5</v>
      </c>
      <c r="K571" s="1" t="s">
        <v>430</v>
      </c>
      <c r="L571" s="1" t="s">
        <v>55</v>
      </c>
      <c r="M571" s="1" t="s">
        <v>129</v>
      </c>
      <c r="N571" s="1" t="s">
        <v>92</v>
      </c>
      <c r="O571" s="2">
        <v>45678</v>
      </c>
      <c r="P571" s="2">
        <v>45679</v>
      </c>
      <c r="Q571" s="1" t="b">
        <v>1</v>
      </c>
      <c r="R571" s="1">
        <v>0</v>
      </c>
      <c r="S571" s="1" t="b">
        <v>1</v>
      </c>
      <c r="T571" s="2">
        <v>45686</v>
      </c>
      <c r="U571" s="1" t="b">
        <v>1</v>
      </c>
      <c r="V571" s="2">
        <v>45688</v>
      </c>
      <c r="W571" s="1" t="b">
        <v>1</v>
      </c>
      <c r="X571" s="2">
        <v>45690</v>
      </c>
      <c r="Y571" s="1">
        <v>65</v>
      </c>
      <c r="Z571" s="1">
        <v>91</v>
      </c>
      <c r="AA571" s="1">
        <v>76</v>
      </c>
      <c r="AB571" s="1" t="b">
        <v>0</v>
      </c>
      <c r="AD571" s="1" t="b">
        <v>0</v>
      </c>
      <c r="AF571" s="1" t="s">
        <v>47</v>
      </c>
      <c r="AG571" s="1" t="s">
        <v>124</v>
      </c>
      <c r="AH571" s="1">
        <v>12</v>
      </c>
      <c r="AI571" s="1" t="s">
        <v>118</v>
      </c>
    </row>
    <row r="572" spans="1:35" ht="12.5" hidden="1" x14ac:dyDescent="0.25">
      <c r="A572" s="1">
        <v>568</v>
      </c>
      <c r="B572" s="1" t="s">
        <v>1506</v>
      </c>
      <c r="C572" s="1" t="s">
        <v>1507</v>
      </c>
      <c r="D572" s="1" t="s">
        <v>149</v>
      </c>
      <c r="E572" s="1" t="s">
        <v>38</v>
      </c>
      <c r="F572" s="1" t="s">
        <v>111</v>
      </c>
      <c r="G572" s="1" t="s">
        <v>64</v>
      </c>
      <c r="H572" s="1" t="s">
        <v>41</v>
      </c>
      <c r="I572" s="1" t="s">
        <v>42</v>
      </c>
      <c r="J572" s="1">
        <v>8.9</v>
      </c>
      <c r="K572" s="1" t="s">
        <v>976</v>
      </c>
      <c r="L572" s="1" t="s">
        <v>114</v>
      </c>
      <c r="M572" s="1" t="s">
        <v>45</v>
      </c>
      <c r="N572" s="1" t="s">
        <v>46</v>
      </c>
      <c r="O572" s="2">
        <v>45808</v>
      </c>
      <c r="P572" s="2">
        <v>45808</v>
      </c>
      <c r="Q572" s="1" t="b">
        <v>1</v>
      </c>
      <c r="R572" s="1">
        <v>6</v>
      </c>
      <c r="S572" s="1" t="b">
        <v>1</v>
      </c>
      <c r="T572" s="2">
        <v>45815</v>
      </c>
      <c r="U572" s="1" t="b">
        <v>1</v>
      </c>
      <c r="V572" s="2">
        <v>45829</v>
      </c>
      <c r="W572" s="1" t="b">
        <v>1</v>
      </c>
      <c r="X572" s="2">
        <v>45831</v>
      </c>
      <c r="Y572" s="1">
        <v>91</v>
      </c>
      <c r="Z572" s="1">
        <v>89</v>
      </c>
      <c r="AA572" s="1">
        <v>92</v>
      </c>
      <c r="AB572" s="1" t="b">
        <v>1</v>
      </c>
      <c r="AC572" s="2">
        <v>45833</v>
      </c>
      <c r="AD572" s="1" t="b">
        <v>0</v>
      </c>
      <c r="AF572" s="1" t="s">
        <v>316</v>
      </c>
      <c r="AH572" s="1">
        <v>25</v>
      </c>
      <c r="AI572" s="1" t="s">
        <v>48</v>
      </c>
    </row>
    <row r="573" spans="1:35" ht="12.5" hidden="1" x14ac:dyDescent="0.25">
      <c r="A573" s="1">
        <v>569</v>
      </c>
      <c r="B573" s="1" t="s">
        <v>1508</v>
      </c>
      <c r="C573" s="1" t="s">
        <v>1509</v>
      </c>
      <c r="D573" s="1" t="s">
        <v>195</v>
      </c>
      <c r="E573" s="1" t="s">
        <v>62</v>
      </c>
      <c r="F573" s="1" t="s">
        <v>63</v>
      </c>
      <c r="G573" s="1" t="s">
        <v>64</v>
      </c>
      <c r="H573" s="1" t="s">
        <v>88</v>
      </c>
      <c r="I573" s="1" t="s">
        <v>53</v>
      </c>
      <c r="J573" s="1">
        <v>6.9</v>
      </c>
      <c r="K573" s="1" t="s">
        <v>1510</v>
      </c>
      <c r="L573" s="1" t="s">
        <v>141</v>
      </c>
      <c r="M573" s="1" t="s">
        <v>45</v>
      </c>
      <c r="N573" s="1" t="s">
        <v>46</v>
      </c>
      <c r="O573" s="2">
        <v>45736</v>
      </c>
      <c r="P573" s="2">
        <v>45738</v>
      </c>
      <c r="Q573" s="1" t="b">
        <v>1</v>
      </c>
      <c r="R573" s="1">
        <v>1</v>
      </c>
      <c r="S573" s="1" t="b">
        <v>1</v>
      </c>
      <c r="T573" s="2">
        <v>45746</v>
      </c>
      <c r="U573" s="1" t="b">
        <v>0</v>
      </c>
      <c r="W573" s="1" t="b">
        <v>0</v>
      </c>
      <c r="Y573" s="1">
        <v>78</v>
      </c>
      <c r="Z573" s="1">
        <v>66</v>
      </c>
      <c r="AA573" s="1">
        <v>81</v>
      </c>
      <c r="AB573" s="1" t="b">
        <v>0</v>
      </c>
      <c r="AD573" s="1" t="b">
        <v>0</v>
      </c>
      <c r="AF573" s="1" t="s">
        <v>151</v>
      </c>
      <c r="AH573" s="1">
        <v>10</v>
      </c>
      <c r="AI573" s="1" t="s">
        <v>165</v>
      </c>
    </row>
    <row r="574" spans="1:35" ht="12.5" x14ac:dyDescent="0.25">
      <c r="A574" s="1">
        <v>570</v>
      </c>
      <c r="B574" s="1" t="s">
        <v>1511</v>
      </c>
      <c r="C574" s="1" t="s">
        <v>1512</v>
      </c>
      <c r="D574" s="1" t="s">
        <v>1199</v>
      </c>
      <c r="E574" s="1" t="s">
        <v>102</v>
      </c>
      <c r="F574" s="1" t="s">
        <v>63</v>
      </c>
      <c r="G574" s="1" t="s">
        <v>97</v>
      </c>
      <c r="H574" s="1" t="s">
        <v>41</v>
      </c>
      <c r="I574" s="1" t="s">
        <v>42</v>
      </c>
      <c r="J574" s="1">
        <v>8.3000000000000007</v>
      </c>
      <c r="K574" s="1" t="s">
        <v>1513</v>
      </c>
      <c r="L574" s="1" t="s">
        <v>114</v>
      </c>
      <c r="M574" s="1" t="s">
        <v>68</v>
      </c>
      <c r="N574" s="1" t="s">
        <v>92</v>
      </c>
      <c r="O574" s="2">
        <v>45794</v>
      </c>
      <c r="P574" s="2">
        <v>45797</v>
      </c>
      <c r="Q574" s="1" t="b">
        <v>0</v>
      </c>
      <c r="S574" s="1" t="b">
        <v>0</v>
      </c>
      <c r="U574" s="1" t="b">
        <v>0</v>
      </c>
      <c r="W574" s="1" t="b">
        <v>0</v>
      </c>
      <c r="Y574" s="1">
        <v>80</v>
      </c>
      <c r="Z574" s="1">
        <v>75</v>
      </c>
      <c r="AA574" s="1">
        <v>69</v>
      </c>
      <c r="AB574" s="1" t="b">
        <v>0</v>
      </c>
      <c r="AD574" s="1" t="b">
        <v>0</v>
      </c>
      <c r="AF574" s="1" t="s">
        <v>77</v>
      </c>
      <c r="AG574" s="1" t="s">
        <v>69</v>
      </c>
      <c r="AH574" s="1">
        <v>3</v>
      </c>
      <c r="AI574" s="1" t="s">
        <v>58</v>
      </c>
    </row>
    <row r="575" spans="1:35" ht="12.5" x14ac:dyDescent="0.25">
      <c r="A575" s="1">
        <v>571</v>
      </c>
      <c r="B575" s="1" t="s">
        <v>1514</v>
      </c>
      <c r="C575" s="1" t="s">
        <v>1515</v>
      </c>
      <c r="D575" s="1" t="s">
        <v>338</v>
      </c>
      <c r="E575" s="1" t="s">
        <v>38</v>
      </c>
      <c r="F575" s="1" t="s">
        <v>39</v>
      </c>
      <c r="G575" s="1" t="s">
        <v>112</v>
      </c>
      <c r="H575" s="1" t="s">
        <v>65</v>
      </c>
      <c r="I575" s="1" t="s">
        <v>42</v>
      </c>
      <c r="J575" s="1">
        <v>6</v>
      </c>
      <c r="K575" s="1" t="s">
        <v>1316</v>
      </c>
      <c r="L575" s="1" t="s">
        <v>67</v>
      </c>
      <c r="M575" s="1" t="s">
        <v>129</v>
      </c>
      <c r="N575" s="1" t="s">
        <v>116</v>
      </c>
      <c r="O575" s="2">
        <v>45805</v>
      </c>
      <c r="P575" s="2">
        <v>45806</v>
      </c>
      <c r="Q575" s="1" t="b">
        <v>0</v>
      </c>
      <c r="S575" s="1" t="b">
        <v>0</v>
      </c>
      <c r="U575" s="1" t="b">
        <v>0</v>
      </c>
      <c r="W575" s="1" t="b">
        <v>0</v>
      </c>
      <c r="Y575" s="1">
        <v>68</v>
      </c>
      <c r="Z575" s="1">
        <v>77</v>
      </c>
      <c r="AA575" s="1">
        <v>68</v>
      </c>
      <c r="AB575" s="1" t="b">
        <v>0</v>
      </c>
      <c r="AD575" s="1" t="b">
        <v>0</v>
      </c>
      <c r="AF575" s="1" t="s">
        <v>77</v>
      </c>
      <c r="AG575" s="1" t="s">
        <v>69</v>
      </c>
      <c r="AH575" s="1">
        <v>1</v>
      </c>
      <c r="AI575" s="1" t="s">
        <v>118</v>
      </c>
    </row>
    <row r="576" spans="1:35" ht="12.5" hidden="1" x14ac:dyDescent="0.25">
      <c r="A576" s="1">
        <v>572</v>
      </c>
      <c r="B576" s="1" t="s">
        <v>1516</v>
      </c>
      <c r="C576" s="1" t="s">
        <v>1517</v>
      </c>
      <c r="D576" s="1" t="s">
        <v>737</v>
      </c>
      <c r="E576" s="1" t="s">
        <v>52</v>
      </c>
      <c r="F576" s="1" t="s">
        <v>74</v>
      </c>
      <c r="G576" s="1" t="s">
        <v>75</v>
      </c>
      <c r="H576" s="1" t="s">
        <v>41</v>
      </c>
      <c r="I576" s="1" t="s">
        <v>53</v>
      </c>
      <c r="J576" s="1">
        <v>5.4</v>
      </c>
      <c r="K576" s="1" t="s">
        <v>89</v>
      </c>
      <c r="L576" s="1" t="s">
        <v>90</v>
      </c>
      <c r="M576" s="1" t="s">
        <v>56</v>
      </c>
      <c r="N576" s="1" t="s">
        <v>84</v>
      </c>
      <c r="O576" s="2">
        <v>45795</v>
      </c>
      <c r="P576" s="2">
        <v>45800</v>
      </c>
      <c r="Q576" s="1" t="b">
        <v>1</v>
      </c>
      <c r="R576" s="1">
        <v>0</v>
      </c>
      <c r="S576" s="1" t="b">
        <v>1</v>
      </c>
      <c r="T576" s="2">
        <v>45808</v>
      </c>
      <c r="U576" s="1" t="b">
        <v>1</v>
      </c>
      <c r="V576" s="2">
        <v>45814</v>
      </c>
      <c r="W576" s="1" t="b">
        <v>1</v>
      </c>
      <c r="X576" s="2">
        <v>45819</v>
      </c>
      <c r="Y576" s="1">
        <v>78</v>
      </c>
      <c r="Z576" s="1">
        <v>75</v>
      </c>
      <c r="AA576" s="1">
        <v>75</v>
      </c>
      <c r="AB576" s="1" t="b">
        <v>1</v>
      </c>
      <c r="AC576" s="2">
        <v>45823</v>
      </c>
      <c r="AD576" s="1" t="b">
        <v>1</v>
      </c>
      <c r="AE576" s="2">
        <v>45825</v>
      </c>
      <c r="AF576" s="1" t="s">
        <v>134</v>
      </c>
      <c r="AH576" s="1">
        <v>30</v>
      </c>
      <c r="AI576" s="1" t="s">
        <v>93</v>
      </c>
    </row>
    <row r="577" spans="1:35" ht="12.5" hidden="1" x14ac:dyDescent="0.25">
      <c r="A577" s="1">
        <v>573</v>
      </c>
      <c r="B577" s="1" t="s">
        <v>1518</v>
      </c>
      <c r="C577" s="1" t="s">
        <v>1519</v>
      </c>
      <c r="D577" s="1" t="s">
        <v>1019</v>
      </c>
      <c r="E577" s="1" t="s">
        <v>62</v>
      </c>
      <c r="F577" s="1" t="s">
        <v>39</v>
      </c>
      <c r="G577" s="1" t="s">
        <v>75</v>
      </c>
      <c r="H577" s="1" t="s">
        <v>41</v>
      </c>
      <c r="I577" s="1" t="s">
        <v>53</v>
      </c>
      <c r="J577" s="1">
        <v>4.2</v>
      </c>
      <c r="K577" s="1" t="s">
        <v>791</v>
      </c>
      <c r="L577" s="1" t="s">
        <v>44</v>
      </c>
      <c r="M577" s="1" t="s">
        <v>123</v>
      </c>
      <c r="N577" s="1" t="s">
        <v>46</v>
      </c>
      <c r="O577" s="2">
        <v>45678</v>
      </c>
      <c r="P577" s="2">
        <v>45679</v>
      </c>
      <c r="Q577" s="1" t="b">
        <v>1</v>
      </c>
      <c r="R577" s="1">
        <v>6</v>
      </c>
      <c r="S577" s="1" t="b">
        <v>1</v>
      </c>
      <c r="T577" s="2">
        <v>45689</v>
      </c>
      <c r="U577" s="1" t="b">
        <v>1</v>
      </c>
      <c r="V577" s="2">
        <v>45697</v>
      </c>
      <c r="W577" s="1" t="b">
        <v>1</v>
      </c>
      <c r="X577" s="2">
        <v>45698</v>
      </c>
      <c r="Y577" s="1">
        <v>80</v>
      </c>
      <c r="Z577" s="1">
        <v>79</v>
      </c>
      <c r="AA577" s="1">
        <v>89</v>
      </c>
      <c r="AB577" s="1" t="b">
        <v>1</v>
      </c>
      <c r="AC577" s="2">
        <v>45705</v>
      </c>
      <c r="AD577" s="1" t="b">
        <v>1</v>
      </c>
      <c r="AE577" s="2">
        <v>45713</v>
      </c>
      <c r="AF577" s="1" t="s">
        <v>134</v>
      </c>
      <c r="AH577" s="1">
        <v>35</v>
      </c>
      <c r="AI577" s="1" t="s">
        <v>58</v>
      </c>
    </row>
    <row r="578" spans="1:35" ht="12.5" x14ac:dyDescent="0.25">
      <c r="A578" s="1">
        <v>574</v>
      </c>
      <c r="B578" s="1" t="s">
        <v>1520</v>
      </c>
      <c r="C578" s="1" t="s">
        <v>1521</v>
      </c>
      <c r="D578" s="1" t="s">
        <v>174</v>
      </c>
      <c r="E578" s="1" t="s">
        <v>38</v>
      </c>
      <c r="F578" s="1" t="s">
        <v>63</v>
      </c>
      <c r="G578" s="1" t="s">
        <v>64</v>
      </c>
      <c r="H578" s="1" t="s">
        <v>65</v>
      </c>
      <c r="I578" s="1" t="s">
        <v>53</v>
      </c>
      <c r="J578" s="1">
        <v>5.2</v>
      </c>
      <c r="K578" s="1" t="s">
        <v>538</v>
      </c>
      <c r="L578" s="1" t="s">
        <v>114</v>
      </c>
      <c r="M578" s="1" t="s">
        <v>56</v>
      </c>
      <c r="N578" s="1" t="s">
        <v>84</v>
      </c>
      <c r="O578" s="2">
        <v>45756</v>
      </c>
      <c r="P578" s="2">
        <v>45756</v>
      </c>
      <c r="Q578" s="1" t="b">
        <v>1</v>
      </c>
      <c r="R578" s="1">
        <v>8</v>
      </c>
      <c r="S578" s="1" t="b">
        <v>0</v>
      </c>
      <c r="U578" s="1" t="b">
        <v>0</v>
      </c>
      <c r="W578" s="1" t="b">
        <v>0</v>
      </c>
      <c r="Y578" s="1">
        <v>64</v>
      </c>
      <c r="Z578" s="1">
        <v>66</v>
      </c>
      <c r="AA578" s="1">
        <v>53</v>
      </c>
      <c r="AB578" s="1" t="b">
        <v>0</v>
      </c>
      <c r="AD578" s="1" t="b">
        <v>0</v>
      </c>
      <c r="AF578" s="1" t="s">
        <v>57</v>
      </c>
      <c r="AG578" s="1" t="s">
        <v>69</v>
      </c>
      <c r="AH578" s="1">
        <v>0</v>
      </c>
      <c r="AI578" s="1" t="s">
        <v>135</v>
      </c>
    </row>
    <row r="579" spans="1:35" ht="12.5" hidden="1" x14ac:dyDescent="0.25">
      <c r="A579" s="1">
        <v>575</v>
      </c>
      <c r="B579" s="1" t="s">
        <v>1522</v>
      </c>
      <c r="C579" s="1" t="s">
        <v>1523</v>
      </c>
      <c r="D579" s="1" t="s">
        <v>245</v>
      </c>
      <c r="E579" s="1" t="s">
        <v>62</v>
      </c>
      <c r="F579" s="1" t="s">
        <v>74</v>
      </c>
      <c r="G579" s="1" t="s">
        <v>64</v>
      </c>
      <c r="H579" s="1" t="s">
        <v>65</v>
      </c>
      <c r="I579" s="1" t="s">
        <v>103</v>
      </c>
      <c r="J579" s="1">
        <v>11.6</v>
      </c>
      <c r="K579" s="1" t="s">
        <v>312</v>
      </c>
      <c r="L579" s="1" t="s">
        <v>44</v>
      </c>
      <c r="M579" s="1" t="s">
        <v>56</v>
      </c>
      <c r="N579" s="1" t="s">
        <v>46</v>
      </c>
      <c r="O579" s="2">
        <v>45675</v>
      </c>
      <c r="P579" s="2">
        <v>45680</v>
      </c>
      <c r="Q579" s="1" t="b">
        <v>1</v>
      </c>
      <c r="R579" s="1">
        <v>4</v>
      </c>
      <c r="S579" s="1" t="b">
        <v>1</v>
      </c>
      <c r="T579" s="2">
        <v>45684</v>
      </c>
      <c r="U579" s="1" t="b">
        <v>1</v>
      </c>
      <c r="V579" s="2">
        <v>45697</v>
      </c>
      <c r="W579" s="1" t="b">
        <v>1</v>
      </c>
      <c r="X579" s="2">
        <v>45703</v>
      </c>
      <c r="Y579" s="1">
        <v>92</v>
      </c>
      <c r="Z579" s="1">
        <v>73</v>
      </c>
      <c r="AA579" s="1">
        <v>83</v>
      </c>
      <c r="AB579" s="1" t="b">
        <v>1</v>
      </c>
      <c r="AC579" s="2">
        <v>45707</v>
      </c>
      <c r="AD579" s="1" t="b">
        <v>0</v>
      </c>
      <c r="AF579" s="1" t="s">
        <v>316</v>
      </c>
      <c r="AH579" s="1">
        <v>32</v>
      </c>
      <c r="AI579" s="1" t="s">
        <v>157</v>
      </c>
    </row>
    <row r="580" spans="1:35" ht="12.5" hidden="1" x14ac:dyDescent="0.25">
      <c r="A580" s="1">
        <v>576</v>
      </c>
      <c r="B580" s="1" t="s">
        <v>1524</v>
      </c>
      <c r="C580" s="1" t="s">
        <v>1525</v>
      </c>
      <c r="D580" s="1" t="s">
        <v>1349</v>
      </c>
      <c r="E580" s="1" t="s">
        <v>52</v>
      </c>
      <c r="F580" s="1" t="s">
        <v>39</v>
      </c>
      <c r="G580" s="1" t="s">
        <v>97</v>
      </c>
      <c r="H580" s="1" t="s">
        <v>41</v>
      </c>
      <c r="I580" s="1" t="s">
        <v>42</v>
      </c>
      <c r="J580" s="1">
        <v>7.9</v>
      </c>
      <c r="K580" s="1" t="s">
        <v>749</v>
      </c>
      <c r="L580" s="1" t="s">
        <v>90</v>
      </c>
      <c r="M580" s="1" t="s">
        <v>146</v>
      </c>
      <c r="N580" s="1" t="s">
        <v>92</v>
      </c>
      <c r="O580" s="2">
        <v>45689</v>
      </c>
      <c r="P580" s="2">
        <v>45690</v>
      </c>
      <c r="Q580" s="1" t="b">
        <v>1</v>
      </c>
      <c r="R580" s="1">
        <v>5</v>
      </c>
      <c r="S580" s="1" t="b">
        <v>0</v>
      </c>
      <c r="U580" s="1" t="b">
        <v>0</v>
      </c>
      <c r="W580" s="1" t="b">
        <v>0</v>
      </c>
      <c r="Y580" s="1">
        <v>77</v>
      </c>
      <c r="Z580" s="1">
        <v>74</v>
      </c>
      <c r="AA580" s="1">
        <v>65</v>
      </c>
      <c r="AB580" s="1" t="b">
        <v>0</v>
      </c>
      <c r="AD580" s="1" t="b">
        <v>0</v>
      </c>
      <c r="AF580" s="1" t="s">
        <v>57</v>
      </c>
      <c r="AH580" s="1">
        <v>1</v>
      </c>
      <c r="AI580" s="1" t="s">
        <v>70</v>
      </c>
    </row>
    <row r="581" spans="1:35" ht="12.5" x14ac:dyDescent="0.25">
      <c r="A581" s="1">
        <v>577</v>
      </c>
      <c r="B581" s="1" t="s">
        <v>1526</v>
      </c>
      <c r="C581" s="1" t="s">
        <v>1527</v>
      </c>
      <c r="D581" s="1" t="s">
        <v>382</v>
      </c>
      <c r="E581" s="1" t="s">
        <v>102</v>
      </c>
      <c r="F581" s="1" t="s">
        <v>74</v>
      </c>
      <c r="G581" s="1" t="s">
        <v>40</v>
      </c>
      <c r="H581" s="1" t="s">
        <v>88</v>
      </c>
      <c r="I581" s="1" t="s">
        <v>53</v>
      </c>
      <c r="J581" s="1">
        <v>4.9000000000000004</v>
      </c>
      <c r="K581" s="1" t="s">
        <v>1528</v>
      </c>
      <c r="L581" s="1" t="s">
        <v>67</v>
      </c>
      <c r="M581" s="1" t="s">
        <v>115</v>
      </c>
      <c r="N581" s="1" t="s">
        <v>46</v>
      </c>
      <c r="O581" s="2">
        <v>45753</v>
      </c>
      <c r="P581" s="2">
        <v>45753</v>
      </c>
      <c r="Q581" s="1" t="b">
        <v>0</v>
      </c>
      <c r="S581" s="1" t="b">
        <v>0</v>
      </c>
      <c r="U581" s="1" t="b">
        <v>0</v>
      </c>
      <c r="W581" s="1" t="b">
        <v>0</v>
      </c>
      <c r="Y581" s="1">
        <v>66</v>
      </c>
      <c r="Z581" s="1">
        <v>85</v>
      </c>
      <c r="AA581" s="1">
        <v>71</v>
      </c>
      <c r="AB581" s="1" t="b">
        <v>0</v>
      </c>
      <c r="AD581" s="1" t="b">
        <v>0</v>
      </c>
      <c r="AF581" s="1" t="s">
        <v>77</v>
      </c>
      <c r="AG581" s="1" t="s">
        <v>69</v>
      </c>
      <c r="AH581" s="1">
        <v>0</v>
      </c>
      <c r="AI581" s="1" t="s">
        <v>78</v>
      </c>
    </row>
    <row r="582" spans="1:35" ht="12.5" x14ac:dyDescent="0.25">
      <c r="A582" s="1">
        <v>578</v>
      </c>
      <c r="B582" s="1" t="s">
        <v>1529</v>
      </c>
      <c r="C582" s="1" t="s">
        <v>1530</v>
      </c>
      <c r="D582" s="1" t="s">
        <v>908</v>
      </c>
      <c r="E582" s="1" t="s">
        <v>62</v>
      </c>
      <c r="F582" s="1" t="s">
        <v>39</v>
      </c>
      <c r="G582" s="1" t="s">
        <v>75</v>
      </c>
      <c r="H582" s="1" t="s">
        <v>41</v>
      </c>
      <c r="I582" s="1" t="s">
        <v>42</v>
      </c>
      <c r="J582" s="1">
        <v>8.6999999999999993</v>
      </c>
      <c r="K582" s="1" t="s">
        <v>749</v>
      </c>
      <c r="L582" s="1" t="s">
        <v>44</v>
      </c>
      <c r="M582" s="1" t="s">
        <v>56</v>
      </c>
      <c r="N582" s="1" t="s">
        <v>84</v>
      </c>
      <c r="O582" s="2">
        <v>45789</v>
      </c>
      <c r="P582" s="2">
        <v>45791</v>
      </c>
      <c r="Q582" s="1" t="b">
        <v>1</v>
      </c>
      <c r="R582" s="1">
        <v>8</v>
      </c>
      <c r="S582" s="1" t="b">
        <v>1</v>
      </c>
      <c r="T582" s="2">
        <v>45796</v>
      </c>
      <c r="U582" s="1" t="b">
        <v>0</v>
      </c>
      <c r="W582" s="1" t="b">
        <v>0</v>
      </c>
      <c r="Y582" s="1">
        <v>91</v>
      </c>
      <c r="Z582" s="1">
        <v>66</v>
      </c>
      <c r="AA582" s="1">
        <v>77</v>
      </c>
      <c r="AB582" s="1" t="b">
        <v>0</v>
      </c>
      <c r="AD582" s="1" t="b">
        <v>0</v>
      </c>
      <c r="AF582" s="1" t="s">
        <v>151</v>
      </c>
      <c r="AG582" s="1" t="s">
        <v>69</v>
      </c>
      <c r="AH582" s="1">
        <v>7</v>
      </c>
      <c r="AI582" s="1" t="s">
        <v>48</v>
      </c>
    </row>
    <row r="583" spans="1:35" ht="12.5" x14ac:dyDescent="0.25">
      <c r="A583" s="1">
        <v>579</v>
      </c>
      <c r="B583" s="1" t="s">
        <v>1531</v>
      </c>
      <c r="C583" s="1" t="s">
        <v>1532</v>
      </c>
      <c r="D583" s="1" t="s">
        <v>850</v>
      </c>
      <c r="E583" s="1" t="s">
        <v>52</v>
      </c>
      <c r="F583" s="1" t="s">
        <v>39</v>
      </c>
      <c r="G583" s="1" t="s">
        <v>64</v>
      </c>
      <c r="H583" s="1" t="s">
        <v>88</v>
      </c>
      <c r="I583" s="1" t="s">
        <v>53</v>
      </c>
      <c r="J583" s="1">
        <v>3.9</v>
      </c>
      <c r="K583" s="1" t="s">
        <v>919</v>
      </c>
      <c r="L583" s="1" t="s">
        <v>114</v>
      </c>
      <c r="M583" s="1" t="s">
        <v>129</v>
      </c>
      <c r="N583" s="1" t="s">
        <v>116</v>
      </c>
      <c r="O583" s="2">
        <v>45715</v>
      </c>
      <c r="P583" s="2">
        <v>45721</v>
      </c>
      <c r="Q583" s="1" t="b">
        <v>0</v>
      </c>
      <c r="S583" s="1" t="b">
        <v>0</v>
      </c>
      <c r="U583" s="1" t="b">
        <v>0</v>
      </c>
      <c r="W583" s="1" t="b">
        <v>0</v>
      </c>
      <c r="Y583" s="1">
        <v>77</v>
      </c>
      <c r="Z583" s="1">
        <v>81</v>
      </c>
      <c r="AA583" s="1">
        <v>76</v>
      </c>
      <c r="AB583" s="1" t="b">
        <v>0</v>
      </c>
      <c r="AD583" s="1" t="b">
        <v>0</v>
      </c>
      <c r="AF583" s="1" t="s">
        <v>77</v>
      </c>
      <c r="AG583" s="1" t="s">
        <v>69</v>
      </c>
      <c r="AH583" s="1">
        <v>6</v>
      </c>
      <c r="AI583" s="1" t="s">
        <v>93</v>
      </c>
    </row>
    <row r="584" spans="1:35" ht="12.5" x14ac:dyDescent="0.25">
      <c r="A584" s="1">
        <v>580</v>
      </c>
      <c r="B584" s="1" t="s">
        <v>1533</v>
      </c>
      <c r="C584" s="1" t="s">
        <v>1534</v>
      </c>
      <c r="D584" s="1" t="s">
        <v>96</v>
      </c>
      <c r="E584" s="1" t="s">
        <v>52</v>
      </c>
      <c r="F584" s="1" t="s">
        <v>74</v>
      </c>
      <c r="G584" s="1" t="s">
        <v>64</v>
      </c>
      <c r="H584" s="1" t="s">
        <v>41</v>
      </c>
      <c r="I584" s="1" t="s">
        <v>53</v>
      </c>
      <c r="J584" s="1">
        <v>4.5</v>
      </c>
      <c r="K584" s="1" t="s">
        <v>1528</v>
      </c>
      <c r="L584" s="1" t="s">
        <v>141</v>
      </c>
      <c r="M584" s="1" t="s">
        <v>146</v>
      </c>
      <c r="N584" s="1" t="s">
        <v>84</v>
      </c>
      <c r="O584" s="2">
        <v>45806</v>
      </c>
      <c r="P584" s="2">
        <v>45807</v>
      </c>
      <c r="Q584" s="1" t="b">
        <v>0</v>
      </c>
      <c r="S584" s="1" t="b">
        <v>0</v>
      </c>
      <c r="U584" s="1" t="b">
        <v>0</v>
      </c>
      <c r="W584" s="1" t="b">
        <v>0</v>
      </c>
      <c r="Y584" s="1">
        <v>74</v>
      </c>
      <c r="Z584" s="1">
        <v>72</v>
      </c>
      <c r="AA584" s="1">
        <v>67</v>
      </c>
      <c r="AB584" s="1" t="b">
        <v>0</v>
      </c>
      <c r="AD584" s="1" t="b">
        <v>0</v>
      </c>
      <c r="AF584" s="1" t="s">
        <v>77</v>
      </c>
      <c r="AG584" s="1" t="s">
        <v>69</v>
      </c>
      <c r="AH584" s="1">
        <v>1</v>
      </c>
      <c r="AI584" s="1" t="s">
        <v>93</v>
      </c>
    </row>
    <row r="585" spans="1:35" ht="12.5" hidden="1" x14ac:dyDescent="0.25">
      <c r="A585" s="1">
        <v>581</v>
      </c>
      <c r="B585" s="1" t="s">
        <v>1535</v>
      </c>
      <c r="C585" s="1" t="s">
        <v>1536</v>
      </c>
      <c r="D585" s="1" t="s">
        <v>253</v>
      </c>
      <c r="E585" s="1" t="s">
        <v>52</v>
      </c>
      <c r="F585" s="1" t="s">
        <v>111</v>
      </c>
      <c r="G585" s="1" t="s">
        <v>139</v>
      </c>
      <c r="H585" s="1" t="s">
        <v>65</v>
      </c>
      <c r="I585" s="1" t="s">
        <v>42</v>
      </c>
      <c r="J585" s="1">
        <v>6.1</v>
      </c>
      <c r="K585" s="1" t="s">
        <v>1537</v>
      </c>
      <c r="L585" s="1" t="s">
        <v>67</v>
      </c>
      <c r="M585" s="1" t="s">
        <v>45</v>
      </c>
      <c r="N585" s="1" t="s">
        <v>116</v>
      </c>
      <c r="O585" s="2">
        <v>45661</v>
      </c>
      <c r="P585" s="2">
        <v>45664</v>
      </c>
      <c r="Q585" s="1" t="b">
        <v>1</v>
      </c>
      <c r="R585" s="1">
        <v>6</v>
      </c>
      <c r="S585" s="1" t="b">
        <v>1</v>
      </c>
      <c r="T585" s="2">
        <v>45670</v>
      </c>
      <c r="U585" s="1" t="b">
        <v>1</v>
      </c>
      <c r="V585" s="2">
        <v>45674</v>
      </c>
      <c r="W585" s="1" t="b">
        <v>1</v>
      </c>
      <c r="X585" s="2">
        <v>45676</v>
      </c>
      <c r="Y585" s="1">
        <v>81</v>
      </c>
      <c r="Z585" s="1">
        <v>90</v>
      </c>
      <c r="AA585" s="1">
        <v>85</v>
      </c>
      <c r="AB585" s="1" t="b">
        <v>0</v>
      </c>
      <c r="AD585" s="1" t="b">
        <v>0</v>
      </c>
      <c r="AF585" s="1" t="s">
        <v>47</v>
      </c>
      <c r="AH585" s="1">
        <v>15</v>
      </c>
      <c r="AI585" s="1" t="s">
        <v>215</v>
      </c>
    </row>
    <row r="586" spans="1:35" ht="12.5" x14ac:dyDescent="0.25">
      <c r="A586" s="1">
        <v>582</v>
      </c>
      <c r="B586" s="1" t="s">
        <v>1538</v>
      </c>
      <c r="C586" s="1" t="s">
        <v>1539</v>
      </c>
      <c r="D586" s="1" t="s">
        <v>225</v>
      </c>
      <c r="E586" s="1" t="s">
        <v>102</v>
      </c>
      <c r="F586" s="1" t="s">
        <v>63</v>
      </c>
      <c r="G586" s="1" t="s">
        <v>64</v>
      </c>
      <c r="H586" s="1" t="s">
        <v>65</v>
      </c>
      <c r="I586" s="1" t="s">
        <v>53</v>
      </c>
      <c r="J586" s="1">
        <v>3.1</v>
      </c>
      <c r="K586" s="1" t="s">
        <v>730</v>
      </c>
      <c r="L586" s="1" t="s">
        <v>67</v>
      </c>
      <c r="M586" s="1" t="s">
        <v>56</v>
      </c>
      <c r="N586" s="1" t="s">
        <v>116</v>
      </c>
      <c r="O586" s="2">
        <v>45775</v>
      </c>
      <c r="P586" s="2">
        <v>45775</v>
      </c>
      <c r="Q586" s="1" t="b">
        <v>1</v>
      </c>
      <c r="R586" s="1">
        <v>4</v>
      </c>
      <c r="S586" s="1" t="b">
        <v>0</v>
      </c>
      <c r="U586" s="1" t="b">
        <v>0</v>
      </c>
      <c r="W586" s="1" t="b">
        <v>0</v>
      </c>
      <c r="Y586" s="1">
        <v>58</v>
      </c>
      <c r="Z586" s="1">
        <v>78</v>
      </c>
      <c r="AA586" s="1">
        <v>49</v>
      </c>
      <c r="AB586" s="1" t="b">
        <v>0</v>
      </c>
      <c r="AD586" s="1" t="b">
        <v>0</v>
      </c>
      <c r="AF586" s="1" t="s">
        <v>57</v>
      </c>
      <c r="AG586" s="1" t="s">
        <v>69</v>
      </c>
      <c r="AH586" s="1">
        <v>0</v>
      </c>
      <c r="AI586" s="1" t="s">
        <v>215</v>
      </c>
    </row>
    <row r="587" spans="1:35" ht="12.5" hidden="1" x14ac:dyDescent="0.25">
      <c r="A587" s="1">
        <v>583</v>
      </c>
      <c r="B587" s="1" t="s">
        <v>1540</v>
      </c>
      <c r="C587" s="1" t="s">
        <v>1541</v>
      </c>
      <c r="D587" s="1" t="s">
        <v>271</v>
      </c>
      <c r="E587" s="1" t="s">
        <v>52</v>
      </c>
      <c r="F587" s="1" t="s">
        <v>74</v>
      </c>
      <c r="G587" s="1" t="s">
        <v>139</v>
      </c>
      <c r="H587" s="1" t="s">
        <v>65</v>
      </c>
      <c r="I587" s="1" t="s">
        <v>82</v>
      </c>
      <c r="J587" s="1">
        <v>1.8</v>
      </c>
      <c r="K587" s="1" t="s">
        <v>985</v>
      </c>
      <c r="L587" s="1" t="s">
        <v>44</v>
      </c>
      <c r="M587" s="1" t="s">
        <v>123</v>
      </c>
      <c r="N587" s="1" t="s">
        <v>84</v>
      </c>
      <c r="O587" s="2">
        <v>45793</v>
      </c>
      <c r="P587" s="2">
        <v>45797</v>
      </c>
      <c r="Q587" s="1" t="b">
        <v>1</v>
      </c>
      <c r="R587" s="1">
        <v>12</v>
      </c>
      <c r="S587" s="1" t="b">
        <v>0</v>
      </c>
      <c r="U587" s="1" t="b">
        <v>0</v>
      </c>
      <c r="W587" s="1" t="b">
        <v>0</v>
      </c>
      <c r="Y587" s="1">
        <v>60</v>
      </c>
      <c r="Z587" s="1">
        <v>80</v>
      </c>
      <c r="AA587" s="1">
        <v>77</v>
      </c>
      <c r="AB587" s="1" t="b">
        <v>0</v>
      </c>
      <c r="AD587" s="1" t="b">
        <v>0</v>
      </c>
      <c r="AF587" s="1" t="s">
        <v>57</v>
      </c>
      <c r="AH587" s="1">
        <v>4</v>
      </c>
      <c r="AI587" s="1" t="s">
        <v>70</v>
      </c>
    </row>
    <row r="588" spans="1:35" ht="12.5" x14ac:dyDescent="0.25">
      <c r="A588" s="1">
        <v>584</v>
      </c>
      <c r="B588" s="1" t="s">
        <v>1542</v>
      </c>
      <c r="C588" s="1" t="s">
        <v>1543</v>
      </c>
      <c r="D588" s="1" t="s">
        <v>73</v>
      </c>
      <c r="E588" s="1" t="s">
        <v>52</v>
      </c>
      <c r="F588" s="1" t="s">
        <v>63</v>
      </c>
      <c r="G588" s="1" t="s">
        <v>112</v>
      </c>
      <c r="H588" s="1" t="s">
        <v>65</v>
      </c>
      <c r="I588" s="1" t="s">
        <v>42</v>
      </c>
      <c r="J588" s="1">
        <v>7.9</v>
      </c>
      <c r="K588" s="1" t="s">
        <v>402</v>
      </c>
      <c r="L588" s="1" t="s">
        <v>55</v>
      </c>
      <c r="M588" s="1" t="s">
        <v>123</v>
      </c>
      <c r="N588" s="1" t="s">
        <v>92</v>
      </c>
      <c r="O588" s="2">
        <v>45662</v>
      </c>
      <c r="P588" s="2">
        <v>45668</v>
      </c>
      <c r="Q588" s="1" t="b">
        <v>0</v>
      </c>
      <c r="S588" s="1" t="b">
        <v>0</v>
      </c>
      <c r="U588" s="1" t="b">
        <v>0</v>
      </c>
      <c r="W588" s="1" t="b">
        <v>0</v>
      </c>
      <c r="Y588" s="1">
        <v>55</v>
      </c>
      <c r="Z588" s="1">
        <v>61</v>
      </c>
      <c r="AA588" s="1">
        <v>79</v>
      </c>
      <c r="AB588" s="1" t="b">
        <v>0</v>
      </c>
      <c r="AD588" s="1" t="b">
        <v>0</v>
      </c>
      <c r="AF588" s="1" t="s">
        <v>77</v>
      </c>
      <c r="AG588" s="1" t="s">
        <v>69</v>
      </c>
      <c r="AH588" s="1">
        <v>6</v>
      </c>
      <c r="AI588" s="1" t="s">
        <v>78</v>
      </c>
    </row>
    <row r="589" spans="1:35" ht="12.5" x14ac:dyDescent="0.25">
      <c r="A589" s="1">
        <v>585</v>
      </c>
      <c r="B589" s="1" t="s">
        <v>1544</v>
      </c>
      <c r="C589" s="1" t="s">
        <v>1545</v>
      </c>
      <c r="D589" s="1" t="s">
        <v>213</v>
      </c>
      <c r="E589" s="1" t="s">
        <v>52</v>
      </c>
      <c r="F589" s="1" t="s">
        <v>63</v>
      </c>
      <c r="G589" s="1" t="s">
        <v>64</v>
      </c>
      <c r="H589" s="1" t="s">
        <v>41</v>
      </c>
      <c r="I589" s="1" t="s">
        <v>53</v>
      </c>
      <c r="J589" s="1">
        <v>4.7</v>
      </c>
      <c r="K589" s="1" t="s">
        <v>535</v>
      </c>
      <c r="L589" s="1" t="s">
        <v>141</v>
      </c>
      <c r="M589" s="1" t="s">
        <v>146</v>
      </c>
      <c r="N589" s="1" t="s">
        <v>116</v>
      </c>
      <c r="O589" s="2">
        <v>45807</v>
      </c>
      <c r="P589" s="2">
        <v>45815</v>
      </c>
      <c r="Q589" s="1" t="b">
        <v>0</v>
      </c>
      <c r="S589" s="1" t="b">
        <v>0</v>
      </c>
      <c r="U589" s="1" t="b">
        <v>0</v>
      </c>
      <c r="W589" s="1" t="b">
        <v>0</v>
      </c>
      <c r="Y589" s="1">
        <v>80</v>
      </c>
      <c r="Z589" s="1">
        <v>85</v>
      </c>
      <c r="AA589" s="1">
        <v>86</v>
      </c>
      <c r="AB589" s="1" t="b">
        <v>0</v>
      </c>
      <c r="AD589" s="1" t="b">
        <v>0</v>
      </c>
      <c r="AF589" s="1" t="s">
        <v>77</v>
      </c>
      <c r="AG589" s="1" t="s">
        <v>69</v>
      </c>
      <c r="AH589" s="1">
        <v>8</v>
      </c>
      <c r="AI589" s="1" t="s">
        <v>58</v>
      </c>
    </row>
    <row r="590" spans="1:35" ht="12.5" x14ac:dyDescent="0.25">
      <c r="A590" s="1">
        <v>586</v>
      </c>
      <c r="B590" s="1" t="s">
        <v>1546</v>
      </c>
      <c r="C590" s="1" t="s">
        <v>1547</v>
      </c>
      <c r="D590" s="1" t="s">
        <v>371</v>
      </c>
      <c r="E590" s="1" t="s">
        <v>102</v>
      </c>
      <c r="F590" s="1" t="s">
        <v>74</v>
      </c>
      <c r="G590" s="1" t="s">
        <v>64</v>
      </c>
      <c r="H590" s="1" t="s">
        <v>41</v>
      </c>
      <c r="I590" s="1" t="s">
        <v>82</v>
      </c>
      <c r="J590" s="1">
        <v>0.5</v>
      </c>
      <c r="K590" s="1" t="s">
        <v>1548</v>
      </c>
      <c r="L590" s="1" t="s">
        <v>44</v>
      </c>
      <c r="M590" s="1" t="s">
        <v>91</v>
      </c>
      <c r="N590" s="1" t="s">
        <v>46</v>
      </c>
      <c r="O590" s="2">
        <v>45686</v>
      </c>
      <c r="P590" s="2">
        <v>45686</v>
      </c>
      <c r="Q590" s="1" t="b">
        <v>0</v>
      </c>
      <c r="S590" s="1" t="b">
        <v>0</v>
      </c>
      <c r="U590" s="1" t="b">
        <v>0</v>
      </c>
      <c r="W590" s="1" t="b">
        <v>0</v>
      </c>
      <c r="Y590" s="1">
        <v>48</v>
      </c>
      <c r="Z590" s="1">
        <v>68</v>
      </c>
      <c r="AA590" s="1">
        <v>66</v>
      </c>
      <c r="AB590" s="1" t="b">
        <v>0</v>
      </c>
      <c r="AD590" s="1" t="b">
        <v>0</v>
      </c>
      <c r="AF590" s="1" t="s">
        <v>77</v>
      </c>
      <c r="AG590" s="1" t="s">
        <v>69</v>
      </c>
      <c r="AH590" s="1">
        <v>0</v>
      </c>
      <c r="AI590" s="1" t="s">
        <v>70</v>
      </c>
    </row>
    <row r="591" spans="1:35" ht="12.5" hidden="1" x14ac:dyDescent="0.25">
      <c r="A591" s="1">
        <v>587</v>
      </c>
      <c r="B591" s="1" t="s">
        <v>1549</v>
      </c>
      <c r="C591" s="1" t="s">
        <v>1550</v>
      </c>
      <c r="D591" s="1" t="s">
        <v>297</v>
      </c>
      <c r="E591" s="1" t="s">
        <v>62</v>
      </c>
      <c r="F591" s="1" t="s">
        <v>111</v>
      </c>
      <c r="G591" s="1" t="s">
        <v>40</v>
      </c>
      <c r="H591" s="1" t="s">
        <v>65</v>
      </c>
      <c r="I591" s="1" t="s">
        <v>42</v>
      </c>
      <c r="J591" s="1">
        <v>7.7</v>
      </c>
      <c r="K591" s="1" t="s">
        <v>433</v>
      </c>
      <c r="L591" s="1" t="s">
        <v>90</v>
      </c>
      <c r="M591" s="1" t="s">
        <v>91</v>
      </c>
      <c r="N591" s="1" t="s">
        <v>116</v>
      </c>
      <c r="O591" s="2">
        <v>45741</v>
      </c>
      <c r="P591" s="2">
        <v>45741</v>
      </c>
      <c r="Q591" s="1" t="b">
        <v>1</v>
      </c>
      <c r="R591" s="1">
        <v>10</v>
      </c>
      <c r="S591" s="1" t="b">
        <v>1</v>
      </c>
      <c r="T591" s="2">
        <v>45751</v>
      </c>
      <c r="U591" s="1" t="b">
        <v>0</v>
      </c>
      <c r="W591" s="1" t="b">
        <v>0</v>
      </c>
      <c r="Y591" s="1">
        <v>86</v>
      </c>
      <c r="Z591" s="1">
        <v>82</v>
      </c>
      <c r="AA591" s="1">
        <v>77</v>
      </c>
      <c r="AB591" s="1" t="b">
        <v>0</v>
      </c>
      <c r="AD591" s="1" t="b">
        <v>0</v>
      </c>
      <c r="AF591" s="1" t="s">
        <v>151</v>
      </c>
      <c r="AG591" s="1" t="s">
        <v>234</v>
      </c>
      <c r="AH591" s="1">
        <v>10</v>
      </c>
      <c r="AI591" s="1" t="s">
        <v>165</v>
      </c>
    </row>
    <row r="592" spans="1:35" ht="12.5" hidden="1" x14ac:dyDescent="0.25">
      <c r="A592" s="1">
        <v>588</v>
      </c>
      <c r="B592" s="1" t="s">
        <v>1551</v>
      </c>
      <c r="C592" s="1" t="s">
        <v>1552</v>
      </c>
      <c r="D592" s="1" t="s">
        <v>37</v>
      </c>
      <c r="E592" s="1" t="s">
        <v>102</v>
      </c>
      <c r="F592" s="1" t="s">
        <v>63</v>
      </c>
      <c r="G592" s="1" t="s">
        <v>139</v>
      </c>
      <c r="H592" s="1" t="s">
        <v>65</v>
      </c>
      <c r="I592" s="1" t="s">
        <v>82</v>
      </c>
      <c r="J592" s="1">
        <v>0.8</v>
      </c>
      <c r="K592" s="1" t="s">
        <v>419</v>
      </c>
      <c r="L592" s="1" t="s">
        <v>67</v>
      </c>
      <c r="M592" s="1" t="s">
        <v>115</v>
      </c>
      <c r="N592" s="1" t="s">
        <v>84</v>
      </c>
      <c r="O592" s="2">
        <v>45668</v>
      </c>
      <c r="P592" s="2">
        <v>45671</v>
      </c>
      <c r="Q592" s="1" t="b">
        <v>1</v>
      </c>
      <c r="R592" s="1">
        <v>1</v>
      </c>
      <c r="S592" s="1" t="b">
        <v>1</v>
      </c>
      <c r="T592" s="2">
        <v>45675</v>
      </c>
      <c r="U592" s="1" t="b">
        <v>1</v>
      </c>
      <c r="V592" s="2">
        <v>45683</v>
      </c>
      <c r="W592" s="1" t="b">
        <v>1</v>
      </c>
      <c r="X592" s="2">
        <v>45692</v>
      </c>
      <c r="Y592" s="1">
        <v>67</v>
      </c>
      <c r="Z592" s="1">
        <v>48</v>
      </c>
      <c r="AA592" s="1">
        <v>57</v>
      </c>
      <c r="AB592" s="1" t="b">
        <v>0</v>
      </c>
      <c r="AD592" s="1" t="b">
        <v>0</v>
      </c>
      <c r="AF592" s="1" t="s">
        <v>47</v>
      </c>
      <c r="AG592" s="1" t="s">
        <v>124</v>
      </c>
      <c r="AH592" s="1">
        <v>24</v>
      </c>
      <c r="AI592" s="1" t="s">
        <v>78</v>
      </c>
    </row>
    <row r="593" spans="1:35" ht="12.5" hidden="1" x14ac:dyDescent="0.25">
      <c r="A593" s="1">
        <v>589</v>
      </c>
      <c r="B593" s="1" t="s">
        <v>1553</v>
      </c>
      <c r="C593" s="1" t="s">
        <v>1554</v>
      </c>
      <c r="D593" s="1" t="s">
        <v>382</v>
      </c>
      <c r="E593" s="1" t="s">
        <v>38</v>
      </c>
      <c r="F593" s="1" t="s">
        <v>63</v>
      </c>
      <c r="G593" s="1" t="s">
        <v>97</v>
      </c>
      <c r="H593" s="1" t="s">
        <v>41</v>
      </c>
      <c r="I593" s="1" t="s">
        <v>53</v>
      </c>
      <c r="J593" s="1">
        <v>3.3</v>
      </c>
      <c r="K593" s="1" t="s">
        <v>319</v>
      </c>
      <c r="L593" s="1" t="s">
        <v>114</v>
      </c>
      <c r="M593" s="1" t="s">
        <v>123</v>
      </c>
      <c r="N593" s="1" t="s">
        <v>84</v>
      </c>
      <c r="O593" s="2">
        <v>45728</v>
      </c>
      <c r="P593" s="2">
        <v>45728</v>
      </c>
      <c r="Q593" s="1" t="b">
        <v>1</v>
      </c>
      <c r="R593" s="1">
        <v>1</v>
      </c>
      <c r="S593" s="1" t="b">
        <v>1</v>
      </c>
      <c r="T593" s="2">
        <v>45729</v>
      </c>
      <c r="U593" s="1" t="b">
        <v>1</v>
      </c>
      <c r="V593" s="2">
        <v>45732</v>
      </c>
      <c r="W593" s="1" t="b">
        <v>0</v>
      </c>
      <c r="Y593" s="1">
        <v>75</v>
      </c>
      <c r="Z593" s="1">
        <v>87</v>
      </c>
      <c r="AA593" s="1">
        <v>77</v>
      </c>
      <c r="AB593" s="1" t="b">
        <v>0</v>
      </c>
      <c r="AD593" s="1" t="b">
        <v>0</v>
      </c>
      <c r="AF593" s="1" t="s">
        <v>105</v>
      </c>
      <c r="AH593" s="1">
        <v>4</v>
      </c>
      <c r="AI593" s="1" t="s">
        <v>165</v>
      </c>
    </row>
    <row r="594" spans="1:35" ht="12.5" x14ac:dyDescent="0.25">
      <c r="A594" s="1">
        <v>590</v>
      </c>
      <c r="B594" s="1" t="s">
        <v>1555</v>
      </c>
      <c r="C594" s="1" t="s">
        <v>1556</v>
      </c>
      <c r="D594" s="1" t="s">
        <v>564</v>
      </c>
      <c r="E594" s="1" t="s">
        <v>62</v>
      </c>
      <c r="F594" s="1" t="s">
        <v>74</v>
      </c>
      <c r="G594" s="1" t="s">
        <v>97</v>
      </c>
      <c r="H594" s="1" t="s">
        <v>41</v>
      </c>
      <c r="I594" s="1" t="s">
        <v>53</v>
      </c>
      <c r="J594" s="1">
        <v>1.6</v>
      </c>
      <c r="K594" s="1" t="s">
        <v>459</v>
      </c>
      <c r="L594" s="1" t="s">
        <v>67</v>
      </c>
      <c r="M594" s="1" t="s">
        <v>91</v>
      </c>
      <c r="N594" s="1" t="s">
        <v>116</v>
      </c>
      <c r="O594" s="2">
        <v>45717</v>
      </c>
      <c r="P594" s="2">
        <v>45720</v>
      </c>
      <c r="Q594" s="1" t="b">
        <v>0</v>
      </c>
      <c r="S594" s="1" t="b">
        <v>0</v>
      </c>
      <c r="U594" s="1" t="b">
        <v>0</v>
      </c>
      <c r="W594" s="1" t="b">
        <v>0</v>
      </c>
      <c r="Y594" s="1">
        <v>81</v>
      </c>
      <c r="Z594" s="1">
        <v>65</v>
      </c>
      <c r="AA594" s="1">
        <v>81</v>
      </c>
      <c r="AB594" s="1" t="b">
        <v>0</v>
      </c>
      <c r="AD594" s="1" t="b">
        <v>0</v>
      </c>
      <c r="AF594" s="1" t="s">
        <v>77</v>
      </c>
      <c r="AG594" s="1" t="s">
        <v>69</v>
      </c>
      <c r="AH594" s="1">
        <v>3</v>
      </c>
      <c r="AI594" s="1" t="s">
        <v>135</v>
      </c>
    </row>
    <row r="595" spans="1:35" ht="12.5" x14ac:dyDescent="0.25">
      <c r="A595" s="1">
        <v>591</v>
      </c>
      <c r="B595" s="1" t="s">
        <v>1557</v>
      </c>
      <c r="C595" s="1" t="s">
        <v>1558</v>
      </c>
      <c r="D595" s="1" t="s">
        <v>256</v>
      </c>
      <c r="E595" s="1" t="s">
        <v>62</v>
      </c>
      <c r="F595" s="1" t="s">
        <v>74</v>
      </c>
      <c r="G595" s="1" t="s">
        <v>64</v>
      </c>
      <c r="H595" s="1" t="s">
        <v>65</v>
      </c>
      <c r="I595" s="1" t="s">
        <v>42</v>
      </c>
      <c r="J595" s="1">
        <v>8.8000000000000007</v>
      </c>
      <c r="K595" s="1" t="s">
        <v>574</v>
      </c>
      <c r="L595" s="1" t="s">
        <v>114</v>
      </c>
      <c r="M595" s="1" t="s">
        <v>68</v>
      </c>
      <c r="N595" s="1" t="s">
        <v>84</v>
      </c>
      <c r="O595" s="2">
        <v>45727</v>
      </c>
      <c r="P595" s="2">
        <v>45727</v>
      </c>
      <c r="Q595" s="1" t="b">
        <v>0</v>
      </c>
      <c r="S595" s="1" t="b">
        <v>0</v>
      </c>
      <c r="U595" s="1" t="b">
        <v>0</v>
      </c>
      <c r="W595" s="1" t="b">
        <v>0</v>
      </c>
      <c r="Y595" s="1">
        <v>87</v>
      </c>
      <c r="Z595" s="1">
        <v>70</v>
      </c>
      <c r="AA595" s="1">
        <v>78</v>
      </c>
      <c r="AB595" s="1" t="b">
        <v>0</v>
      </c>
      <c r="AD595" s="1" t="b">
        <v>0</v>
      </c>
      <c r="AF595" s="1" t="s">
        <v>77</v>
      </c>
      <c r="AG595" s="1" t="s">
        <v>69</v>
      </c>
      <c r="AH595" s="1">
        <v>0</v>
      </c>
      <c r="AI595" s="1" t="s">
        <v>165</v>
      </c>
    </row>
    <row r="596" spans="1:35" ht="12.5" x14ac:dyDescent="0.25">
      <c r="A596" s="1">
        <v>592</v>
      </c>
      <c r="B596" s="1" t="s">
        <v>1500</v>
      </c>
      <c r="C596" s="1" t="s">
        <v>1559</v>
      </c>
      <c r="D596" s="1" t="s">
        <v>73</v>
      </c>
      <c r="E596" s="1" t="s">
        <v>38</v>
      </c>
      <c r="F596" s="1" t="s">
        <v>63</v>
      </c>
      <c r="G596" s="1" t="s">
        <v>97</v>
      </c>
      <c r="H596" s="1" t="s">
        <v>65</v>
      </c>
      <c r="I596" s="1" t="s">
        <v>53</v>
      </c>
      <c r="J596" s="1">
        <v>4.5</v>
      </c>
      <c r="K596" s="1" t="s">
        <v>315</v>
      </c>
      <c r="L596" s="1" t="s">
        <v>90</v>
      </c>
      <c r="M596" s="1" t="s">
        <v>45</v>
      </c>
      <c r="N596" s="1" t="s">
        <v>84</v>
      </c>
      <c r="O596" s="2">
        <v>45695</v>
      </c>
      <c r="P596" s="2">
        <v>45698</v>
      </c>
      <c r="Q596" s="1" t="b">
        <v>0</v>
      </c>
      <c r="S596" s="1" t="b">
        <v>0</v>
      </c>
      <c r="U596" s="1" t="b">
        <v>0</v>
      </c>
      <c r="W596" s="1" t="b">
        <v>0</v>
      </c>
      <c r="Y596" s="1">
        <v>71</v>
      </c>
      <c r="Z596" s="1">
        <v>69</v>
      </c>
      <c r="AA596" s="1">
        <v>53</v>
      </c>
      <c r="AB596" s="1" t="b">
        <v>0</v>
      </c>
      <c r="AD596" s="1" t="b">
        <v>0</v>
      </c>
      <c r="AF596" s="1" t="s">
        <v>77</v>
      </c>
      <c r="AG596" s="1" t="s">
        <v>69</v>
      </c>
      <c r="AH596" s="1">
        <v>3</v>
      </c>
      <c r="AI596" s="1" t="s">
        <v>215</v>
      </c>
    </row>
    <row r="597" spans="1:35" ht="12.5" hidden="1" x14ac:dyDescent="0.25">
      <c r="A597" s="1">
        <v>593</v>
      </c>
      <c r="B597" s="1" t="s">
        <v>1560</v>
      </c>
      <c r="C597" s="1" t="s">
        <v>1561</v>
      </c>
      <c r="D597" s="1" t="s">
        <v>664</v>
      </c>
      <c r="E597" s="1" t="s">
        <v>62</v>
      </c>
      <c r="F597" s="1" t="s">
        <v>63</v>
      </c>
      <c r="G597" s="1" t="s">
        <v>112</v>
      </c>
      <c r="H597" s="1" t="s">
        <v>88</v>
      </c>
      <c r="I597" s="1" t="s">
        <v>42</v>
      </c>
      <c r="J597" s="1">
        <v>3.6</v>
      </c>
      <c r="K597" s="1" t="s">
        <v>1562</v>
      </c>
      <c r="L597" s="1" t="s">
        <v>67</v>
      </c>
      <c r="M597" s="1" t="s">
        <v>115</v>
      </c>
      <c r="N597" s="1" t="s">
        <v>92</v>
      </c>
      <c r="O597" s="2">
        <v>45682</v>
      </c>
      <c r="P597" s="2">
        <v>45682</v>
      </c>
      <c r="Q597" s="1" t="b">
        <v>1</v>
      </c>
      <c r="R597" s="1">
        <v>4</v>
      </c>
      <c r="S597" s="1" t="b">
        <v>0</v>
      </c>
      <c r="U597" s="1" t="b">
        <v>0</v>
      </c>
      <c r="W597" s="1" t="b">
        <v>0</v>
      </c>
      <c r="Y597" s="1">
        <v>89</v>
      </c>
      <c r="Z597" s="1">
        <v>72</v>
      </c>
      <c r="AA597" s="1">
        <v>83</v>
      </c>
      <c r="AB597" s="1" t="b">
        <v>0</v>
      </c>
      <c r="AD597" s="1" t="b">
        <v>0</v>
      </c>
      <c r="AF597" s="1" t="s">
        <v>57</v>
      </c>
      <c r="AH597" s="1">
        <v>0</v>
      </c>
      <c r="AI597" s="1" t="s">
        <v>78</v>
      </c>
    </row>
    <row r="598" spans="1:35" ht="12.5" hidden="1" x14ac:dyDescent="0.25">
      <c r="A598" s="1">
        <v>594</v>
      </c>
      <c r="B598" s="1" t="s">
        <v>1563</v>
      </c>
      <c r="C598" s="1" t="s">
        <v>1564</v>
      </c>
      <c r="D598" s="1" t="s">
        <v>591</v>
      </c>
      <c r="E598" s="1" t="s">
        <v>102</v>
      </c>
      <c r="F598" s="1" t="s">
        <v>63</v>
      </c>
      <c r="G598" s="1" t="s">
        <v>112</v>
      </c>
      <c r="H598" s="1" t="s">
        <v>41</v>
      </c>
      <c r="I598" s="1" t="s">
        <v>82</v>
      </c>
      <c r="J598" s="1">
        <v>2.7</v>
      </c>
      <c r="K598" s="1" t="s">
        <v>459</v>
      </c>
      <c r="L598" s="1" t="s">
        <v>44</v>
      </c>
      <c r="M598" s="1" t="s">
        <v>123</v>
      </c>
      <c r="N598" s="1" t="s">
        <v>84</v>
      </c>
      <c r="O598" s="2">
        <v>45723</v>
      </c>
      <c r="P598" s="2">
        <v>45725</v>
      </c>
      <c r="Q598" s="1" t="b">
        <v>1</v>
      </c>
      <c r="R598" s="1">
        <v>10</v>
      </c>
      <c r="S598" s="1" t="b">
        <v>0</v>
      </c>
      <c r="U598" s="1" t="b">
        <v>0</v>
      </c>
      <c r="W598" s="1" t="b">
        <v>0</v>
      </c>
      <c r="Y598" s="1">
        <v>78</v>
      </c>
      <c r="Z598" s="1">
        <v>77</v>
      </c>
      <c r="AA598" s="1">
        <v>63</v>
      </c>
      <c r="AB598" s="1" t="b">
        <v>0</v>
      </c>
      <c r="AD598" s="1" t="b">
        <v>0</v>
      </c>
      <c r="AF598" s="1" t="s">
        <v>57</v>
      </c>
      <c r="AH598" s="1">
        <v>2</v>
      </c>
      <c r="AI598" s="1" t="s">
        <v>215</v>
      </c>
    </row>
    <row r="599" spans="1:35" ht="12.5" hidden="1" x14ac:dyDescent="0.25">
      <c r="A599" s="1">
        <v>595</v>
      </c>
      <c r="B599" s="1" t="s">
        <v>1565</v>
      </c>
      <c r="C599" s="1" t="s">
        <v>1566</v>
      </c>
      <c r="D599" s="1" t="s">
        <v>827</v>
      </c>
      <c r="E599" s="1" t="s">
        <v>38</v>
      </c>
      <c r="F599" s="1" t="s">
        <v>63</v>
      </c>
      <c r="G599" s="1" t="s">
        <v>75</v>
      </c>
      <c r="H599" s="1" t="s">
        <v>41</v>
      </c>
      <c r="I599" s="1" t="s">
        <v>53</v>
      </c>
      <c r="J599" s="1">
        <v>5.0999999999999996</v>
      </c>
      <c r="K599" s="1" t="s">
        <v>459</v>
      </c>
      <c r="L599" s="1" t="s">
        <v>44</v>
      </c>
      <c r="M599" s="1" t="s">
        <v>68</v>
      </c>
      <c r="N599" s="1" t="s">
        <v>84</v>
      </c>
      <c r="O599" s="2">
        <v>45679</v>
      </c>
      <c r="P599" s="2">
        <v>45680</v>
      </c>
      <c r="Q599" s="1" t="b">
        <v>1</v>
      </c>
      <c r="R599" s="1">
        <v>8</v>
      </c>
      <c r="S599" s="1" t="b">
        <v>1</v>
      </c>
      <c r="T599" s="2">
        <v>45682</v>
      </c>
      <c r="U599" s="1" t="b">
        <v>1</v>
      </c>
      <c r="V599" s="2">
        <v>45684</v>
      </c>
      <c r="W599" s="1" t="b">
        <v>1</v>
      </c>
      <c r="X599" s="2">
        <v>45691</v>
      </c>
      <c r="Y599" s="1">
        <v>57</v>
      </c>
      <c r="Z599" s="1">
        <v>70</v>
      </c>
      <c r="AA599" s="1">
        <v>62</v>
      </c>
      <c r="AB599" s="1" t="b">
        <v>0</v>
      </c>
      <c r="AD599" s="1" t="b">
        <v>0</v>
      </c>
      <c r="AF599" s="1" t="s">
        <v>47</v>
      </c>
      <c r="AG599" s="1" t="s">
        <v>124</v>
      </c>
      <c r="AH599" s="1">
        <v>12</v>
      </c>
      <c r="AI599" s="1" t="s">
        <v>118</v>
      </c>
    </row>
    <row r="600" spans="1:35" ht="12.5" hidden="1" x14ac:dyDescent="0.25">
      <c r="A600" s="1">
        <v>596</v>
      </c>
      <c r="B600" s="1" t="s">
        <v>1567</v>
      </c>
      <c r="C600" s="1" t="s">
        <v>1568</v>
      </c>
      <c r="D600" s="1" t="s">
        <v>253</v>
      </c>
      <c r="E600" s="1" t="s">
        <v>52</v>
      </c>
      <c r="F600" s="1" t="s">
        <v>63</v>
      </c>
      <c r="G600" s="1" t="s">
        <v>64</v>
      </c>
      <c r="H600" s="1" t="s">
        <v>41</v>
      </c>
      <c r="I600" s="1" t="s">
        <v>103</v>
      </c>
      <c r="J600" s="1">
        <v>12.2</v>
      </c>
      <c r="K600" s="1" t="s">
        <v>298</v>
      </c>
      <c r="L600" s="1" t="s">
        <v>90</v>
      </c>
      <c r="M600" s="1" t="s">
        <v>68</v>
      </c>
      <c r="N600" s="1" t="s">
        <v>116</v>
      </c>
      <c r="O600" s="2">
        <v>45735</v>
      </c>
      <c r="P600" s="2">
        <v>45737</v>
      </c>
      <c r="Q600" s="1" t="b">
        <v>1</v>
      </c>
      <c r="R600" s="1">
        <v>6</v>
      </c>
      <c r="S600" s="1" t="b">
        <v>1</v>
      </c>
      <c r="T600" s="2">
        <v>45738</v>
      </c>
      <c r="U600" s="1" t="b">
        <v>1</v>
      </c>
      <c r="V600" s="2">
        <v>45744</v>
      </c>
      <c r="W600" s="1" t="b">
        <v>1</v>
      </c>
      <c r="X600" s="2">
        <v>45745</v>
      </c>
      <c r="Y600" s="1">
        <v>88</v>
      </c>
      <c r="Z600" s="1">
        <v>77</v>
      </c>
      <c r="AA600" s="1">
        <v>77</v>
      </c>
      <c r="AB600" s="1" t="b">
        <v>1</v>
      </c>
      <c r="AC600" s="2">
        <v>45751</v>
      </c>
      <c r="AD600" s="1" t="b">
        <v>1</v>
      </c>
      <c r="AE600" s="2">
        <v>45763</v>
      </c>
      <c r="AF600" s="1" t="s">
        <v>134</v>
      </c>
      <c r="AH600" s="1">
        <v>28</v>
      </c>
      <c r="AI600" s="1" t="s">
        <v>135</v>
      </c>
    </row>
    <row r="601" spans="1:35" ht="12.5" x14ac:dyDescent="0.25">
      <c r="A601" s="1">
        <v>597</v>
      </c>
      <c r="B601" s="1" t="s">
        <v>1569</v>
      </c>
      <c r="C601" s="1" t="s">
        <v>1570</v>
      </c>
      <c r="D601" s="1" t="s">
        <v>229</v>
      </c>
      <c r="E601" s="1" t="s">
        <v>52</v>
      </c>
      <c r="F601" s="1" t="s">
        <v>111</v>
      </c>
      <c r="G601" s="1" t="s">
        <v>40</v>
      </c>
      <c r="H601" s="1" t="s">
        <v>41</v>
      </c>
      <c r="I601" s="1" t="s">
        <v>103</v>
      </c>
      <c r="J601" s="1">
        <v>9.6999999999999993</v>
      </c>
      <c r="K601" s="1" t="s">
        <v>89</v>
      </c>
      <c r="L601" s="1" t="s">
        <v>67</v>
      </c>
      <c r="M601" s="1" t="s">
        <v>91</v>
      </c>
      <c r="N601" s="1" t="s">
        <v>92</v>
      </c>
      <c r="O601" s="2">
        <v>45753</v>
      </c>
      <c r="P601" s="2">
        <v>45755</v>
      </c>
      <c r="Q601" s="1" t="b">
        <v>0</v>
      </c>
      <c r="S601" s="1" t="b">
        <v>0</v>
      </c>
      <c r="U601" s="1" t="b">
        <v>0</v>
      </c>
      <c r="W601" s="1" t="b">
        <v>0</v>
      </c>
      <c r="Y601" s="1">
        <v>76</v>
      </c>
      <c r="Z601" s="1">
        <v>85</v>
      </c>
      <c r="AA601" s="1">
        <v>89</v>
      </c>
      <c r="AB601" s="1" t="b">
        <v>0</v>
      </c>
      <c r="AD601" s="1" t="b">
        <v>0</v>
      </c>
      <c r="AF601" s="1" t="s">
        <v>77</v>
      </c>
      <c r="AG601" s="1" t="s">
        <v>69</v>
      </c>
      <c r="AH601" s="1">
        <v>2</v>
      </c>
      <c r="AI601" s="1" t="s">
        <v>78</v>
      </c>
    </row>
    <row r="602" spans="1:35" ht="12.5" x14ac:dyDescent="0.25">
      <c r="A602" s="1">
        <v>598</v>
      </c>
      <c r="B602" s="1" t="s">
        <v>1571</v>
      </c>
      <c r="C602" s="1" t="s">
        <v>1572</v>
      </c>
      <c r="D602" s="1" t="s">
        <v>497</v>
      </c>
      <c r="E602" s="1" t="s">
        <v>52</v>
      </c>
      <c r="F602" s="1" t="s">
        <v>63</v>
      </c>
      <c r="G602" s="1" t="s">
        <v>75</v>
      </c>
      <c r="H602" s="1" t="s">
        <v>88</v>
      </c>
      <c r="I602" s="1" t="s">
        <v>82</v>
      </c>
      <c r="J602" s="1">
        <v>4.0999999999999996</v>
      </c>
      <c r="K602" s="1" t="s">
        <v>824</v>
      </c>
      <c r="L602" s="1" t="s">
        <v>114</v>
      </c>
      <c r="M602" s="1" t="s">
        <v>68</v>
      </c>
      <c r="N602" s="1" t="s">
        <v>84</v>
      </c>
      <c r="O602" s="2">
        <v>45663</v>
      </c>
      <c r="P602" s="2">
        <v>45668</v>
      </c>
      <c r="Q602" s="1" t="b">
        <v>0</v>
      </c>
      <c r="S602" s="1" t="b">
        <v>0</v>
      </c>
      <c r="U602" s="1" t="b">
        <v>0</v>
      </c>
      <c r="W602" s="1" t="b">
        <v>0</v>
      </c>
      <c r="Y602" s="1">
        <v>77</v>
      </c>
      <c r="Z602" s="1">
        <v>79</v>
      </c>
      <c r="AA602" s="1">
        <v>88</v>
      </c>
      <c r="AB602" s="1" t="b">
        <v>0</v>
      </c>
      <c r="AD602" s="1" t="b">
        <v>0</v>
      </c>
      <c r="AF602" s="1" t="s">
        <v>77</v>
      </c>
      <c r="AG602" s="1" t="s">
        <v>69</v>
      </c>
      <c r="AH602" s="1">
        <v>5</v>
      </c>
      <c r="AI602" s="1" t="s">
        <v>78</v>
      </c>
    </row>
    <row r="603" spans="1:35" ht="12.5" x14ac:dyDescent="0.25">
      <c r="A603" s="1">
        <v>599</v>
      </c>
      <c r="B603" s="1" t="s">
        <v>1573</v>
      </c>
      <c r="C603" s="1" t="s">
        <v>1574</v>
      </c>
      <c r="D603" s="1" t="s">
        <v>305</v>
      </c>
      <c r="E603" s="1" t="s">
        <v>102</v>
      </c>
      <c r="F603" s="1" t="s">
        <v>39</v>
      </c>
      <c r="G603" s="1" t="s">
        <v>112</v>
      </c>
      <c r="H603" s="1" t="s">
        <v>88</v>
      </c>
      <c r="I603" s="1" t="s">
        <v>53</v>
      </c>
      <c r="J603" s="1">
        <v>4.3</v>
      </c>
      <c r="K603" s="1" t="s">
        <v>185</v>
      </c>
      <c r="L603" s="1" t="s">
        <v>44</v>
      </c>
      <c r="M603" s="1" t="s">
        <v>45</v>
      </c>
      <c r="N603" s="1" t="s">
        <v>46</v>
      </c>
      <c r="O603" s="2">
        <v>45796</v>
      </c>
      <c r="P603" s="2">
        <v>45799</v>
      </c>
      <c r="Q603" s="1" t="b">
        <v>0</v>
      </c>
      <c r="S603" s="1" t="b">
        <v>0</v>
      </c>
      <c r="U603" s="1" t="b">
        <v>0</v>
      </c>
      <c r="W603" s="1" t="b">
        <v>0</v>
      </c>
      <c r="Y603" s="1">
        <v>46</v>
      </c>
      <c r="Z603" s="1">
        <v>79</v>
      </c>
      <c r="AA603" s="1">
        <v>62</v>
      </c>
      <c r="AB603" s="1" t="b">
        <v>0</v>
      </c>
      <c r="AD603" s="1" t="b">
        <v>0</v>
      </c>
      <c r="AF603" s="1" t="s">
        <v>77</v>
      </c>
      <c r="AG603" s="1" t="s">
        <v>69</v>
      </c>
      <c r="AH603" s="1">
        <v>3</v>
      </c>
      <c r="AI603" s="1" t="s">
        <v>157</v>
      </c>
    </row>
    <row r="604" spans="1:35" ht="12.5" x14ac:dyDescent="0.25">
      <c r="A604" s="1">
        <v>600</v>
      </c>
      <c r="B604" s="1" t="s">
        <v>1575</v>
      </c>
      <c r="C604" s="1" t="s">
        <v>1576</v>
      </c>
      <c r="D604" s="1" t="s">
        <v>497</v>
      </c>
      <c r="E604" s="1" t="s">
        <v>102</v>
      </c>
      <c r="F604" s="1" t="s">
        <v>74</v>
      </c>
      <c r="G604" s="1" t="s">
        <v>64</v>
      </c>
      <c r="H604" s="1" t="s">
        <v>65</v>
      </c>
      <c r="I604" s="1" t="s">
        <v>53</v>
      </c>
      <c r="J604" s="1">
        <v>3.9</v>
      </c>
      <c r="K604" s="1" t="s">
        <v>1510</v>
      </c>
      <c r="L604" s="1" t="s">
        <v>114</v>
      </c>
      <c r="M604" s="1" t="s">
        <v>56</v>
      </c>
      <c r="N604" s="1" t="s">
        <v>46</v>
      </c>
      <c r="O604" s="2">
        <v>45688</v>
      </c>
      <c r="P604" s="2">
        <v>45690</v>
      </c>
      <c r="Q604" s="1" t="b">
        <v>0</v>
      </c>
      <c r="S604" s="1" t="b">
        <v>0</v>
      </c>
      <c r="U604" s="1" t="b">
        <v>0</v>
      </c>
      <c r="W604" s="1" t="b">
        <v>0</v>
      </c>
      <c r="Y604" s="1">
        <v>69</v>
      </c>
      <c r="Z604" s="1">
        <v>57</v>
      </c>
      <c r="AA604" s="1">
        <v>59</v>
      </c>
      <c r="AB604" s="1" t="b">
        <v>0</v>
      </c>
      <c r="AD604" s="1" t="b">
        <v>0</v>
      </c>
      <c r="AF604" s="1" t="s">
        <v>77</v>
      </c>
      <c r="AG604" s="1" t="s">
        <v>69</v>
      </c>
      <c r="AH604" s="1">
        <v>2</v>
      </c>
      <c r="AI604" s="1" t="s">
        <v>165</v>
      </c>
    </row>
    <row r="605" spans="1:35" ht="12.5" hidden="1" x14ac:dyDescent="0.25">
      <c r="A605" s="1">
        <v>601</v>
      </c>
      <c r="B605" s="1" t="s">
        <v>1577</v>
      </c>
      <c r="C605" s="1" t="s">
        <v>1578</v>
      </c>
      <c r="D605" s="1" t="s">
        <v>681</v>
      </c>
      <c r="E605" s="1" t="s">
        <v>38</v>
      </c>
      <c r="F605" s="1" t="s">
        <v>63</v>
      </c>
      <c r="G605" s="1" t="s">
        <v>75</v>
      </c>
      <c r="H605" s="1" t="s">
        <v>65</v>
      </c>
      <c r="I605" s="1" t="s">
        <v>42</v>
      </c>
      <c r="J605" s="1">
        <v>8</v>
      </c>
      <c r="K605" s="1" t="s">
        <v>360</v>
      </c>
      <c r="L605" s="1" t="s">
        <v>44</v>
      </c>
      <c r="M605" s="1" t="s">
        <v>91</v>
      </c>
      <c r="N605" s="1" t="s">
        <v>46</v>
      </c>
      <c r="O605" s="2">
        <v>45818</v>
      </c>
      <c r="P605" s="2">
        <v>45816</v>
      </c>
      <c r="Q605" s="1" t="b">
        <v>0</v>
      </c>
      <c r="R605" s="1">
        <v>-3</v>
      </c>
      <c r="S605" s="1" t="b">
        <v>1</v>
      </c>
      <c r="T605" s="2">
        <v>45815</v>
      </c>
      <c r="U605" s="1" t="b">
        <v>1</v>
      </c>
      <c r="V605" s="2">
        <v>45814</v>
      </c>
      <c r="W605" s="1" t="b">
        <v>1</v>
      </c>
      <c r="X605" s="2">
        <v>45813</v>
      </c>
      <c r="Y605" s="1">
        <v>118</v>
      </c>
      <c r="Z605" s="1">
        <v>12</v>
      </c>
      <c r="AA605" s="1">
        <v>104</v>
      </c>
      <c r="AB605" s="1" t="b">
        <v>1</v>
      </c>
      <c r="AC605" s="2">
        <v>45812</v>
      </c>
      <c r="AD605" s="1" t="b">
        <v>1</v>
      </c>
      <c r="AE605" s="2">
        <v>45811</v>
      </c>
      <c r="AF605" s="1" t="s">
        <v>134</v>
      </c>
      <c r="AH605" s="1">
        <v>-7</v>
      </c>
      <c r="AI605" s="1" t="s">
        <v>1579</v>
      </c>
    </row>
  </sheetData>
  <mergeCells count="1">
    <mergeCell ref="A1:AI3"/>
  </mergeCells>
  <phoneticPr fontId="11" type="noConversion"/>
  <conditionalFormatting sqref="B5:B605">
    <cfRule type="duplicateValues" dxfId="1" priority="1"/>
  </conditionalFormatting>
  <conditionalFormatting sqref="C5:C605">
    <cfRule type="duplicateValues" dxfId="0" priority="2"/>
  </conditionalFormatting>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3759C-D7E6-4340-9D2C-E93EF1BE72C1}">
  <dimension ref="A1:O15"/>
  <sheetViews>
    <sheetView workbookViewId="0">
      <selection activeCell="K10" sqref="K10"/>
    </sheetView>
  </sheetViews>
  <sheetFormatPr defaultColWidth="25" defaultRowHeight="12.5" x14ac:dyDescent="0.25"/>
  <cols>
    <col min="1" max="1" width="23.7265625" bestFit="1" customWidth="1"/>
    <col min="2" max="2" width="24.81640625" bestFit="1" customWidth="1"/>
    <col min="3" max="3" width="5.26953125" customWidth="1"/>
    <col min="4" max="4" width="23.90625" bestFit="1" customWidth="1"/>
    <col min="5" max="5" width="19" bestFit="1" customWidth="1"/>
    <col min="6" max="6" width="12.54296875" bestFit="1" customWidth="1"/>
    <col min="7" max="7" width="10.36328125" bestFit="1" customWidth="1"/>
    <col min="8" max="8" width="5.08984375" customWidth="1"/>
    <col min="9" max="9" width="23.90625" bestFit="1" customWidth="1"/>
    <col min="10" max="10" width="19" bestFit="1" customWidth="1"/>
    <col min="11" max="11" width="12.54296875" bestFit="1" customWidth="1"/>
    <col min="12" max="12" width="10.36328125" bestFit="1" customWidth="1"/>
    <col min="13" max="13" width="6.08984375" customWidth="1"/>
    <col min="14" max="14" width="23.26953125" bestFit="1" customWidth="1"/>
    <col min="15" max="15" width="23.90625" bestFit="1" customWidth="1"/>
    <col min="16" max="16" width="8.54296875" bestFit="1" customWidth="1"/>
    <col min="17" max="17" width="5.26953125" bestFit="1" customWidth="1"/>
    <col min="18" max="18" width="8.26953125" bestFit="1" customWidth="1"/>
    <col min="19" max="19" width="9.453125" bestFit="1" customWidth="1"/>
    <col min="20" max="20" width="8" bestFit="1" customWidth="1"/>
    <col min="21" max="21" width="4.6328125" bestFit="1" customWidth="1"/>
    <col min="22" max="22" width="10.36328125" bestFit="1" customWidth="1"/>
    <col min="23" max="24" width="3.81640625" bestFit="1" customWidth="1"/>
    <col min="25" max="25" width="1.81640625" bestFit="1" customWidth="1"/>
    <col min="26" max="34" width="3.81640625" bestFit="1" customWidth="1"/>
    <col min="35" max="35" width="1.81640625" bestFit="1" customWidth="1"/>
    <col min="36" max="44" width="3.81640625" bestFit="1" customWidth="1"/>
    <col min="45" max="45" width="1.81640625" bestFit="1" customWidth="1"/>
    <col min="46" max="54" width="3.81640625" bestFit="1" customWidth="1"/>
    <col min="55" max="55" width="1.81640625" bestFit="1" customWidth="1"/>
    <col min="56" max="64" width="3.81640625" bestFit="1" customWidth="1"/>
    <col min="65" max="65" width="1.81640625" bestFit="1" customWidth="1"/>
    <col min="66" max="74" width="3.81640625" bestFit="1" customWidth="1"/>
    <col min="75" max="75" width="1.81640625" bestFit="1" customWidth="1"/>
    <col min="76" max="84" width="3.81640625" bestFit="1" customWidth="1"/>
    <col min="85" max="85" width="1.81640625" bestFit="1" customWidth="1"/>
    <col min="86" max="94" width="3.81640625" bestFit="1" customWidth="1"/>
    <col min="95" max="95" width="1.81640625" bestFit="1" customWidth="1"/>
    <col min="96" max="104" width="3.81640625" bestFit="1" customWidth="1"/>
    <col min="105" max="105" width="1.81640625" bestFit="1" customWidth="1"/>
    <col min="106" max="114" width="3.81640625" bestFit="1" customWidth="1"/>
    <col min="115" max="123" width="4.81640625" bestFit="1" customWidth="1"/>
    <col min="124" max="124" width="2.81640625" bestFit="1" customWidth="1"/>
    <col min="125" max="131" width="4.81640625" bestFit="1" customWidth="1"/>
    <col min="132" max="132" width="2.81640625" bestFit="1" customWidth="1"/>
    <col min="133" max="137" width="4.81640625" bestFit="1" customWidth="1"/>
    <col min="138" max="138" width="10.36328125" bestFit="1" customWidth="1"/>
  </cols>
  <sheetData>
    <row r="1" spans="1:15" x14ac:dyDescent="0.25">
      <c r="A1" s="3" t="s">
        <v>1580</v>
      </c>
      <c r="B1" t="s">
        <v>1582</v>
      </c>
      <c r="D1" s="3" t="s">
        <v>1582</v>
      </c>
      <c r="E1" s="3" t="s">
        <v>1592</v>
      </c>
      <c r="I1" s="3" t="s">
        <v>1582</v>
      </c>
      <c r="J1" s="3" t="s">
        <v>1592</v>
      </c>
      <c r="N1" s="3" t="s">
        <v>1580</v>
      </c>
      <c r="O1" t="s">
        <v>1582</v>
      </c>
    </row>
    <row r="2" spans="1:15" x14ac:dyDescent="0.25">
      <c r="A2" s="4" t="s">
        <v>52</v>
      </c>
      <c r="B2">
        <v>127</v>
      </c>
      <c r="D2" s="3" t="s">
        <v>1580</v>
      </c>
      <c r="E2" t="s">
        <v>1593</v>
      </c>
      <c r="F2" t="s">
        <v>1594</v>
      </c>
      <c r="G2" t="s">
        <v>1581</v>
      </c>
      <c r="I2" s="3" t="s">
        <v>1580</v>
      </c>
      <c r="J2" t="s">
        <v>1593</v>
      </c>
      <c r="K2" t="s">
        <v>1594</v>
      </c>
      <c r="L2" t="s">
        <v>1581</v>
      </c>
      <c r="N2" s="4" t="s">
        <v>1593</v>
      </c>
      <c r="O2">
        <v>552</v>
      </c>
    </row>
    <row r="3" spans="1:15" x14ac:dyDescent="0.25">
      <c r="A3" s="4" t="s">
        <v>38</v>
      </c>
      <c r="B3">
        <v>147</v>
      </c>
      <c r="D3" s="4" t="s">
        <v>91</v>
      </c>
      <c r="E3">
        <v>61</v>
      </c>
      <c r="F3">
        <v>3</v>
      </c>
      <c r="G3">
        <v>64</v>
      </c>
      <c r="I3" s="4" t="s">
        <v>55</v>
      </c>
      <c r="J3">
        <v>65</v>
      </c>
      <c r="K3">
        <v>10</v>
      </c>
      <c r="L3">
        <v>75</v>
      </c>
      <c r="N3" s="9" t="s">
        <v>234</v>
      </c>
      <c r="O3">
        <v>12</v>
      </c>
    </row>
    <row r="4" spans="1:15" x14ac:dyDescent="0.25">
      <c r="A4" s="4" t="s">
        <v>62</v>
      </c>
      <c r="B4">
        <v>162</v>
      </c>
      <c r="D4" s="4" t="s">
        <v>115</v>
      </c>
      <c r="E4">
        <v>78</v>
      </c>
      <c r="F4">
        <v>4</v>
      </c>
      <c r="G4">
        <v>82</v>
      </c>
      <c r="I4" s="4" t="s">
        <v>90</v>
      </c>
      <c r="J4">
        <v>83</v>
      </c>
      <c r="K4">
        <v>15</v>
      </c>
      <c r="L4">
        <v>98</v>
      </c>
      <c r="N4" s="9" t="s">
        <v>176</v>
      </c>
      <c r="O4">
        <v>18</v>
      </c>
    </row>
    <row r="5" spans="1:15" x14ac:dyDescent="0.25">
      <c r="A5" s="4" t="s">
        <v>102</v>
      </c>
      <c r="B5">
        <v>165</v>
      </c>
      <c r="D5" s="4" t="s">
        <v>68</v>
      </c>
      <c r="E5">
        <v>62</v>
      </c>
      <c r="F5">
        <v>6</v>
      </c>
      <c r="G5">
        <v>68</v>
      </c>
      <c r="I5" s="4" t="s">
        <v>44</v>
      </c>
      <c r="J5">
        <v>92</v>
      </c>
      <c r="K5">
        <v>9</v>
      </c>
      <c r="L5">
        <v>101</v>
      </c>
      <c r="N5" s="9" t="s">
        <v>117</v>
      </c>
      <c r="O5">
        <v>18</v>
      </c>
    </row>
    <row r="6" spans="1:15" x14ac:dyDescent="0.25">
      <c r="A6" s="4" t="s">
        <v>1581</v>
      </c>
      <c r="B6">
        <v>601</v>
      </c>
      <c r="D6" s="4" t="s">
        <v>45</v>
      </c>
      <c r="E6">
        <v>68</v>
      </c>
      <c r="F6">
        <v>7</v>
      </c>
      <c r="G6">
        <v>75</v>
      </c>
      <c r="I6" s="4" t="s">
        <v>141</v>
      </c>
      <c r="J6">
        <v>98</v>
      </c>
      <c r="K6">
        <v>5</v>
      </c>
      <c r="L6">
        <v>103</v>
      </c>
      <c r="N6" s="9" t="s">
        <v>361</v>
      </c>
      <c r="O6">
        <v>22</v>
      </c>
    </row>
    <row r="7" spans="1:15" x14ac:dyDescent="0.25">
      <c r="D7" s="4" t="s">
        <v>129</v>
      </c>
      <c r="E7">
        <v>62</v>
      </c>
      <c r="F7">
        <v>7</v>
      </c>
      <c r="G7">
        <v>69</v>
      </c>
      <c r="I7" s="4" t="s">
        <v>67</v>
      </c>
      <c r="J7">
        <v>99</v>
      </c>
      <c r="K7">
        <v>4</v>
      </c>
      <c r="L7">
        <v>103</v>
      </c>
      <c r="N7" s="9" t="s">
        <v>207</v>
      </c>
      <c r="O7">
        <v>23</v>
      </c>
    </row>
    <row r="8" spans="1:15" x14ac:dyDescent="0.25">
      <c r="D8" s="4" t="s">
        <v>123</v>
      </c>
      <c r="E8">
        <v>74</v>
      </c>
      <c r="F8">
        <v>7</v>
      </c>
      <c r="G8">
        <v>81</v>
      </c>
      <c r="I8" s="4" t="s">
        <v>114</v>
      </c>
      <c r="J8">
        <v>115</v>
      </c>
      <c r="K8">
        <v>6</v>
      </c>
      <c r="L8">
        <v>121</v>
      </c>
      <c r="N8" s="9" t="s">
        <v>152</v>
      </c>
      <c r="O8">
        <v>23</v>
      </c>
    </row>
    <row r="9" spans="1:15" x14ac:dyDescent="0.25">
      <c r="D9" s="4" t="s">
        <v>56</v>
      </c>
      <c r="E9">
        <v>82</v>
      </c>
      <c r="F9">
        <v>7</v>
      </c>
      <c r="G9">
        <v>89</v>
      </c>
      <c r="I9" s="4" t="s">
        <v>1581</v>
      </c>
      <c r="J9">
        <v>552</v>
      </c>
      <c r="K9">
        <v>49</v>
      </c>
      <c r="L9">
        <v>601</v>
      </c>
      <c r="N9" s="9" t="s">
        <v>287</v>
      </c>
      <c r="O9">
        <v>24</v>
      </c>
    </row>
    <row r="10" spans="1:15" x14ac:dyDescent="0.25">
      <c r="D10" s="4" t="s">
        <v>146</v>
      </c>
      <c r="E10">
        <v>65</v>
      </c>
      <c r="F10">
        <v>8</v>
      </c>
      <c r="G10">
        <v>73</v>
      </c>
      <c r="K10" s="7">
        <f>GETPIVOTDATA("candidate_id",$I$1,"hired",TRUE)/GETPIVOTDATA("candidate_id",$I$1)</f>
        <v>8.153078202995008E-2</v>
      </c>
      <c r="N10" s="9" t="s">
        <v>124</v>
      </c>
      <c r="O10">
        <v>25</v>
      </c>
    </row>
    <row r="11" spans="1:15" x14ac:dyDescent="0.25">
      <c r="D11" s="4" t="s">
        <v>1581</v>
      </c>
      <c r="E11">
        <v>552</v>
      </c>
      <c r="F11">
        <v>49</v>
      </c>
      <c r="G11">
        <v>601</v>
      </c>
      <c r="N11" s="9" t="s">
        <v>1614</v>
      </c>
      <c r="O11">
        <v>177</v>
      </c>
    </row>
    <row r="12" spans="1:15" x14ac:dyDescent="0.25">
      <c r="N12" s="9" t="s">
        <v>69</v>
      </c>
      <c r="O12">
        <v>210</v>
      </c>
    </row>
    <row r="13" spans="1:15" x14ac:dyDescent="0.25">
      <c r="N13" s="4" t="s">
        <v>1594</v>
      </c>
      <c r="O13">
        <v>49</v>
      </c>
    </row>
    <row r="14" spans="1:15" x14ac:dyDescent="0.25">
      <c r="N14" s="9" t="s">
        <v>1614</v>
      </c>
      <c r="O14">
        <v>49</v>
      </c>
    </row>
    <row r="15" spans="1:15" x14ac:dyDescent="0.25">
      <c r="N15" s="4" t="s">
        <v>1581</v>
      </c>
      <c r="O15">
        <v>601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Menu</vt:lpstr>
      <vt:lpstr>Executive Summary</vt:lpstr>
      <vt:lpstr>Analysis</vt:lpstr>
      <vt:lpstr>Recommendations</vt:lpstr>
      <vt:lpstr>rawdata</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BARATA, LUANA</cp:lastModifiedBy>
  <cp:lastPrinted>2026-07-13T23:53:58Z</cp:lastPrinted>
  <dcterms:created xsi:type="dcterms:W3CDTF">2026-07-13T23:54:09Z</dcterms:created>
  <dcterms:modified xsi:type="dcterms:W3CDTF">2026-07-15T16:17:20Z</dcterms:modified>
</cp:coreProperties>
</file>